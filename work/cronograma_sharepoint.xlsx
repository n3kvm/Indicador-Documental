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6.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codeName="ThisWorkbook" defaultThemeVersion="166925"/>
  <mc:AlternateContent xmlns:mc="http://schemas.openxmlformats.org/markup-compatibility/2006">
    <mc:Choice Requires="x15">
      <x15ac:absPath xmlns:x15ac="http://schemas.microsoft.com/office/spreadsheetml/2010/11/ac" url="https://brillaseo2-my.sharepoint.com/personal/bryan_martinez_brillaseo_co/Documents/INDICADORES COMFANDI/CRONOGRAMA DE MTTO/2026/06-JUNIO/"/>
    </mc:Choice>
  </mc:AlternateContent>
  <xr:revisionPtr revIDLastSave="4770" documentId="8_{49D412EC-8AE8-43F8-8794-567FA6DDA657}" xr6:coauthVersionLast="47" xr6:coauthVersionMax="47" xr10:uidLastSave="{4518F568-F2CC-4F88-A0F7-8241DD1B6D03}"/>
  <bookViews>
    <workbookView xWindow="-108" yWindow="-108" windowWidth="23256" windowHeight="12456" tabRatio="761" firstSheet="7" activeTab="7" xr2:uid="{00000000-000D-0000-FFFF-FFFF00000000}"/>
  </bookViews>
  <sheets>
    <sheet name="Cronog Junio 2026" sheetId="32" r:id="rId1"/>
    <sheet name="Hoja1" sheetId="72" r:id="rId2"/>
    <sheet name="Entregas" sheetId="60" r:id="rId3"/>
    <sheet name="Datos" sheetId="7" r:id="rId4"/>
    <sheet name="Consolidado Entregas" sheetId="61" state="hidden" r:id="rId5"/>
    <sheet name="SEGUIMIENTO" sheetId="62" state="hidden" r:id="rId6"/>
    <sheet name="CORREOS 01" sheetId="67" r:id="rId7"/>
    <sheet name="Directorio comf+ zon" sheetId="70" r:id="rId8"/>
    <sheet name="Directorio Infraestructura" sheetId="65" state="hidden" r:id="rId9"/>
    <sheet name="INSP.EQUIPOS JUNIO" sheetId="66" r:id="rId10"/>
    <sheet name="matriz gestor 2026" sheetId="71" r:id="rId11"/>
    <sheet name="General JUNIO" sheetId="1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s>
  <definedNames>
    <definedName name="_xlnm._FilterDatabase" localSheetId="6" hidden="1">'CORREOS 01'!$A$1:$B$83</definedName>
    <definedName name="_xlnm._FilterDatabase" localSheetId="7" hidden="1">'Directorio comf+ zon'!$A$1:$D$187</definedName>
    <definedName name="_xlnm._FilterDatabase" localSheetId="8" hidden="1">'Directorio Infraestructura'!$A$1:$E$25</definedName>
    <definedName name="_xlnm._FilterDatabase" localSheetId="11" hidden="1">'General JUNIO'!$A$3:$G$28</definedName>
    <definedName name="_xlnm._FilterDatabase" localSheetId="0" hidden="1">'Cronog Junio 2026'!$A$6:$CB$94</definedName>
    <definedName name="_Key1" localSheetId="4" hidden="1">#REF!</definedName>
    <definedName name="_Key1" localSheetId="0" hidden="1">#REF!</definedName>
    <definedName name="_Key1" localSheetId="3" hidden="1">#REF!</definedName>
    <definedName name="_Key1" localSheetId="7" hidden="1">#REF!</definedName>
    <definedName name="_Key1" localSheetId="8" hidden="1">#REF!</definedName>
    <definedName name="_Key1" localSheetId="2" hidden="1">#REF!</definedName>
    <definedName name="_Key1" hidden="1">#REF!</definedName>
    <definedName name="_Key2" localSheetId="4" hidden="1">#REF!</definedName>
    <definedName name="_Key2" localSheetId="0" hidden="1">#REF!</definedName>
    <definedName name="_Key2" localSheetId="3" hidden="1">#REF!</definedName>
    <definedName name="_Key2" localSheetId="7" hidden="1">#REF!</definedName>
    <definedName name="_Key2" localSheetId="8" hidden="1">#REF!</definedName>
    <definedName name="_Key2" localSheetId="2" hidden="1">#REF!</definedName>
    <definedName name="_Key2" hidden="1">#REF!</definedName>
    <definedName name="_Key22" localSheetId="4" hidden="1">#REF!</definedName>
    <definedName name="_Key22" localSheetId="0" hidden="1">#REF!</definedName>
    <definedName name="_Key22" localSheetId="3" hidden="1">#REF!</definedName>
    <definedName name="_Key22" localSheetId="7" hidden="1">#REF!</definedName>
    <definedName name="_Key22" localSheetId="8" hidden="1">#REF!</definedName>
    <definedName name="_Key22" localSheetId="2" hidden="1">#REF!</definedName>
    <definedName name="_Key22" hidden="1">#REF!</definedName>
    <definedName name="_Order1" hidden="1">255</definedName>
    <definedName name="_Order2" hidden="1">255</definedName>
    <definedName name="_Regression_Out" localSheetId="4" hidden="1">#REF!</definedName>
    <definedName name="_Regression_Out" localSheetId="0" hidden="1">#REF!</definedName>
    <definedName name="_Regression_Out" localSheetId="3" hidden="1">#REF!</definedName>
    <definedName name="_Regression_Out" localSheetId="7" hidden="1">#REF!</definedName>
    <definedName name="_Regression_Out" localSheetId="8" hidden="1">#REF!</definedName>
    <definedName name="_Regression_Out" localSheetId="2" hidden="1">#REF!</definedName>
    <definedName name="_Regression_Out" hidden="1">#REF!</definedName>
    <definedName name="_Regression_X" localSheetId="4" hidden="1">#REF!</definedName>
    <definedName name="_Regression_X" localSheetId="0" hidden="1">#REF!</definedName>
    <definedName name="_Regression_X" localSheetId="3" hidden="1">#REF!</definedName>
    <definedName name="_Regression_X" localSheetId="7" hidden="1">#REF!</definedName>
    <definedName name="_Regression_X" localSheetId="8" hidden="1">#REF!</definedName>
    <definedName name="_Regression_X" localSheetId="2" hidden="1">#REF!</definedName>
    <definedName name="_Regression_X" hidden="1">#REF!</definedName>
    <definedName name="_Regression_Y" localSheetId="4" hidden="1">#REF!</definedName>
    <definedName name="_Regression_Y" localSheetId="0" hidden="1">#REF!</definedName>
    <definedName name="_Regression_Y" localSheetId="3" hidden="1">#REF!</definedName>
    <definedName name="_Regression_Y" localSheetId="7" hidden="1">#REF!</definedName>
    <definedName name="_Regression_Y" localSheetId="8" hidden="1">#REF!</definedName>
    <definedName name="_Regression_Y" localSheetId="2" hidden="1">#REF!</definedName>
    <definedName name="_Regression_Y" hidden="1">#REF!</definedName>
    <definedName name="_Sort" localSheetId="4" hidden="1">#REF!</definedName>
    <definedName name="_Sort" localSheetId="0" hidden="1">#REF!</definedName>
    <definedName name="_Sort" localSheetId="3" hidden="1">#REF!</definedName>
    <definedName name="_Sort" localSheetId="7" hidden="1">#REF!</definedName>
    <definedName name="_Sort" localSheetId="8" hidden="1">#REF!</definedName>
    <definedName name="_Sort" localSheetId="2" hidden="1">#REF!</definedName>
    <definedName name="_Sort" hidden="1">#REF!</definedName>
    <definedName name="´ÑLKOP" localSheetId="4">#REF!</definedName>
    <definedName name="´ÑLKOP" localSheetId="0">#REF!</definedName>
    <definedName name="´ÑLKOP" localSheetId="3">#REF!</definedName>
    <definedName name="´ÑLKOP" localSheetId="7">#REF!</definedName>
    <definedName name="´ÑLKOP" localSheetId="8">#REF!</definedName>
    <definedName name="´ÑLKOP" localSheetId="2">#REF!</definedName>
    <definedName name="´ÑLKOP">#REF!</definedName>
    <definedName name="´ÑPLP">[1]TABLA_VENTAS!$A$3:$D$400</definedName>
    <definedName name="a" localSheetId="4" hidden="1">#REF!</definedName>
    <definedName name="a" localSheetId="0" hidden="1">#REF!</definedName>
    <definedName name="a" localSheetId="3" hidden="1">#REF!</definedName>
    <definedName name="a" localSheetId="7" hidden="1">#REF!</definedName>
    <definedName name="a" localSheetId="8" hidden="1">#REF!</definedName>
    <definedName name="a" localSheetId="2" hidden="1">#REF!</definedName>
    <definedName name="a" hidden="1">#REF!</definedName>
    <definedName name="Aa">'[2]TABLA-VENTAS'!$A$3:$D$400</definedName>
    <definedName name="aasd" localSheetId="4" hidden="1">#REF!</definedName>
    <definedName name="aasd" localSheetId="8" hidden="1">#REF!</definedName>
    <definedName name="aasd" hidden="1">#REF!</definedName>
    <definedName name="ABOVELINE" localSheetId="4">#REF!</definedName>
    <definedName name="ABOVELINE" localSheetId="0">#REF!</definedName>
    <definedName name="ABOVELINE" localSheetId="3">#REF!</definedName>
    <definedName name="ABOVELINE" localSheetId="7">#REF!</definedName>
    <definedName name="ABOVELINE" localSheetId="8">#REF!</definedName>
    <definedName name="ABOVELINE" localSheetId="2">#REF!</definedName>
    <definedName name="ABOVELINE">#REF!</definedName>
    <definedName name="ADEQ" localSheetId="4">#REF!</definedName>
    <definedName name="ADEQ" localSheetId="0">#REF!</definedName>
    <definedName name="ADEQ" localSheetId="3">#REF!</definedName>
    <definedName name="ADEQ" localSheetId="7">#REF!</definedName>
    <definedName name="ADEQ" localSheetId="8">#REF!</definedName>
    <definedName name="ADEQ" localSheetId="2">#REF!</definedName>
    <definedName name="ADEQ">#REF!</definedName>
    <definedName name="adf">'[3]TABLA-VENTAS'!$A$3:$D$400</definedName>
    <definedName name="ADQ">[1]TABLA_VENTAS!$A$3:$D$400</definedName>
    <definedName name="ADSWWE">'[2]TABLA-VENTAS'!$A$3:$D$400</definedName>
    <definedName name="AETA">[1]TABLA_VENTAS!$A$3:$D$400</definedName>
    <definedName name="aicnarelot" localSheetId="0">[4]TABLA_VENTAS!$A$3:$D$400</definedName>
    <definedName name="aicnarelot" localSheetId="7">[5]TABLA_VENTAS!$A$3:$D$400</definedName>
    <definedName name="aicnarelot" localSheetId="8">[6]TABLA_VENTAS!$A$3:$D$400</definedName>
    <definedName name="aicnarelot">[7]TABLA_VENTAS!$A$3:$D$400</definedName>
    <definedName name="alegriaa" localSheetId="0">[8]TABLA_VENTAS!$A$3:$D$400</definedName>
    <definedName name="alegriaa" localSheetId="7">[9]TABLA_VENTAS!$A$3:$D$400</definedName>
    <definedName name="alegriaa" localSheetId="8">[10]TABLA_VENTAS!$A$3:$D$400</definedName>
    <definedName name="alegriaa">[11]TABLA_VENTAS!$A$3:$D$400</definedName>
    <definedName name="ALO">[1]TABLA_VENTAS!$A$3:$D$400</definedName>
    <definedName name="AMP" localSheetId="4">#REF!</definedName>
    <definedName name="AMP" localSheetId="0">#REF!</definedName>
    <definedName name="AMP" localSheetId="3">#REF!</definedName>
    <definedName name="AMP" localSheetId="7">#REF!</definedName>
    <definedName name="AMP" localSheetId="8">#REF!</definedName>
    <definedName name="AMP" localSheetId="2">#REF!</definedName>
    <definedName name="AMP">#REF!</definedName>
    <definedName name="añq">[1]TABLA_VENTAS!$A$3:$D$400</definedName>
    <definedName name="AOL">[1]TABLA_VENTAS!$A$3:$D$400</definedName>
    <definedName name="Aqa" localSheetId="4">#REF!</definedName>
    <definedName name="Aqa" localSheetId="0">#REF!</definedName>
    <definedName name="Aqa" localSheetId="3">#REF!</definedName>
    <definedName name="Aqa" localSheetId="7">#REF!</definedName>
    <definedName name="Aqa" localSheetId="8">#REF!</definedName>
    <definedName name="Aqa" localSheetId="2">#REF!</definedName>
    <definedName name="Aqa">#REF!</definedName>
    <definedName name="_xlnm.Print_Area" localSheetId="0">'Cronog Junio 2026'!$B$1:$BZ$97</definedName>
    <definedName name="AS">[1]TABLA_VENTAS!$A$3:$D$400</definedName>
    <definedName name="ASA">[1]TABLA_VENTAS!$A$3:$D$400</definedName>
    <definedName name="ASasSsa">'[3]TABLA-VENTAS'!$A$3:$D$400</definedName>
    <definedName name="ASAx">'[3]TABLA-VENTAS'!$A$3:$D$400</definedName>
    <definedName name="ASDER">'[2]TABLA-VENTAS'!$A$3:$D$400</definedName>
    <definedName name="ased">'[2]TABLA-VENTAS'!$A$3:$D$400</definedName>
    <definedName name="ASEDR">'[2]TABLA-VENTAS'!$A$3:$D$400</definedName>
    <definedName name="ASEDRF">'[2]TABLA-VENTAS'!$A$3:$D$400</definedName>
    <definedName name="ASEF">[1]TABLA_VENTAS!$A$3:$D$400</definedName>
    <definedName name="ASERW">'[2]TABLA-VENTAS'!$A$3:$D$400</definedName>
    <definedName name="asñ" localSheetId="4">#REF!</definedName>
    <definedName name="asñ" localSheetId="0">#REF!</definedName>
    <definedName name="asñ" localSheetId="3">#REF!</definedName>
    <definedName name="asñ" localSheetId="7">#REF!</definedName>
    <definedName name="asñ" localSheetId="8">#REF!</definedName>
    <definedName name="asñ" localSheetId="2">#REF!</definedName>
    <definedName name="asñ">#REF!</definedName>
    <definedName name="ASSA">[12]TABLA_VENTAS!$A$3:$D$400</definedName>
    <definedName name="ATIO" localSheetId="4">#REF!</definedName>
    <definedName name="ATIO" localSheetId="0">#REF!</definedName>
    <definedName name="ATIO" localSheetId="3">#REF!</definedName>
    <definedName name="ATIO" localSheetId="7">#REF!</definedName>
    <definedName name="ATIO" localSheetId="8">#REF!</definedName>
    <definedName name="ATIO" localSheetId="2">#REF!</definedName>
    <definedName name="ATIO">#REF!</definedName>
    <definedName name="AZAZDZSX">[1]TABLA_VENTAS!$A$3:$D$400</definedName>
    <definedName name="B">'[3]TABLA-VENTAS'!$A$3:$D$400</definedName>
    <definedName name="_xlnm.Database">'[13]RED SUCURSALES'!$A$2:$F$365</definedName>
    <definedName name="BCVB">'[3]TABLA-VENTAS'!$A$3:$D$400</definedName>
    <definedName name="bdp">[1]TABLA_VENTAS!$A$3:$D$400</definedName>
    <definedName name="BELOWLINE" localSheetId="4">#REF!</definedName>
    <definedName name="BELOWLINE" localSheetId="0">#REF!</definedName>
    <definedName name="BELOWLINE" localSheetId="3">#REF!</definedName>
    <definedName name="BELOWLINE" localSheetId="7">#REF!</definedName>
    <definedName name="BELOWLINE" localSheetId="8">#REF!</definedName>
    <definedName name="BELOWLINE" localSheetId="2">#REF!</definedName>
    <definedName name="BELOWLINE">#REF!</definedName>
    <definedName name="BERFA">[1]TABLA_VENTAS!$A$3:$D$400</definedName>
    <definedName name="BEYA">[14]TABLA_VENTAS!$A$3:$D$400</definedName>
    <definedName name="BHU" localSheetId="4">#REF!</definedName>
    <definedName name="BHU" localSheetId="0">#REF!</definedName>
    <definedName name="BHU" localSheetId="3">#REF!</definedName>
    <definedName name="BHU" localSheetId="7">#REF!</definedName>
    <definedName name="BHU" localSheetId="8">#REF!</definedName>
    <definedName name="BHU" localSheetId="2">#REF!</definedName>
    <definedName name="BHU">#REF!</definedName>
    <definedName name="bjud">[1]TABLA_VENTAS!$A$3:$D$400</definedName>
    <definedName name="BLANCOYNEGRO" localSheetId="0">[15]TABLA_VENTAS!$A$3:$D$400</definedName>
    <definedName name="BLANCOYNEGRO" localSheetId="7">[16]TABLA_VENTAS!$A$3:$D$400</definedName>
    <definedName name="BLANCOYNEGRO" localSheetId="8">[17]TABLA_VENTAS!$A$3:$D$400</definedName>
    <definedName name="BLANCOYNEGRO">[18]TABLA_VENTAS!$A$3:$D$400</definedName>
    <definedName name="bmacdf">[1]TABLA_VENTAS!$A$3:$D$400</definedName>
    <definedName name="BNHGV" localSheetId="4">#REF!</definedName>
    <definedName name="BNHGV" localSheetId="0">#REF!</definedName>
    <definedName name="BNHGV" localSheetId="3">#REF!</definedName>
    <definedName name="BNHGV" localSheetId="7">#REF!</definedName>
    <definedName name="BNHGV" localSheetId="8">#REF!</definedName>
    <definedName name="BNHGV" localSheetId="2">#REF!</definedName>
    <definedName name="BNHGV">#REF!</definedName>
    <definedName name="BNJ" localSheetId="4">#REF!</definedName>
    <definedName name="BNJ" localSheetId="0">#REF!</definedName>
    <definedName name="BNJ" localSheetId="3">#REF!</definedName>
    <definedName name="BNJ" localSheetId="7">#REF!</definedName>
    <definedName name="BNJ" localSheetId="8">#REF!</definedName>
    <definedName name="BNJ" localSheetId="2">#REF!</definedName>
    <definedName name="BNJ">#REF!</definedName>
    <definedName name="BNM" localSheetId="4">#REF!</definedName>
    <definedName name="BNM" localSheetId="0">#REF!</definedName>
    <definedName name="BNM" localSheetId="3">#REF!</definedName>
    <definedName name="BNM" localSheetId="7">#REF!</definedName>
    <definedName name="BNM" localSheetId="8">#REF!</definedName>
    <definedName name="BNM" localSheetId="2">#REF!</definedName>
    <definedName name="BNM">#REF!</definedName>
    <definedName name="BPS">[1]TABLA_VENTAS!$A$3:$D$400</definedName>
    <definedName name="BREAKLINE" localSheetId="4">#REF!</definedName>
    <definedName name="BREAKLINE" localSheetId="0">#REF!</definedName>
    <definedName name="BREAKLINE" localSheetId="3">#REF!</definedName>
    <definedName name="BREAKLINE" localSheetId="7">#REF!</definedName>
    <definedName name="BREAKLINE" localSheetId="8">#REF!</definedName>
    <definedName name="BREAKLINE" localSheetId="2">#REF!</definedName>
    <definedName name="BREAKLINE">#REF!</definedName>
    <definedName name="BUEN">[1]TABLA_VENTAS!$A$3:$D$400</definedName>
    <definedName name="BVC">'[3]TABLA-VENTAS'!$A$3:$D$400</definedName>
    <definedName name="CAHE">[1]TABLA_VENTAS!$A$3:$D$400</definedName>
    <definedName name="CAREQLJ" localSheetId="0">[19]TABLA_VENTAS!$A$3:$D$400</definedName>
    <definedName name="CAREQLJ" localSheetId="7">[20]TABLA_VENTAS!$A$3:$D$400</definedName>
    <definedName name="CAREQLJ" localSheetId="8">[21]TABLA_VENTAS!$A$3:$D$400</definedName>
    <definedName name="CAREQLJ">[22]TABLA_VENTAS!$A$3:$D$400</definedName>
    <definedName name="CARO">[1]TABLA_VENTAS!$A$3:$D$400</definedName>
    <definedName name="CARREFOURCHEVERE" localSheetId="0">[23]TABLA_VENTAS!$A$3:$D$400</definedName>
    <definedName name="CARREFOURCHEVERE" localSheetId="7">[24]TABLA_VENTAS!$A$3:$D$400</definedName>
    <definedName name="CARREFOURCHEVERE" localSheetId="8">[25]TABLA_VENTAS!$A$3:$D$400</definedName>
    <definedName name="CARREFOURCHEVERE">[26]TABLA_VENTAS!$A$3:$D$400</definedName>
    <definedName name="CASDZ" localSheetId="4">#REF!</definedName>
    <definedName name="CASDZ" localSheetId="0">#REF!</definedName>
    <definedName name="CASDZ" localSheetId="3">#REF!</definedName>
    <definedName name="CASDZ" localSheetId="7">#REF!</definedName>
    <definedName name="CASDZ" localSheetId="8">#REF!</definedName>
    <definedName name="CASDZ" localSheetId="2">#REF!</definedName>
    <definedName name="CASDZ">#REF!</definedName>
    <definedName name="CB">'[3]TABLA-VENTAS'!$A$3:$D$400</definedName>
    <definedName name="CDBGHJ" localSheetId="4">#REF!</definedName>
    <definedName name="CDBGHJ" localSheetId="0">#REF!</definedName>
    <definedName name="CDBGHJ" localSheetId="3">#REF!</definedName>
    <definedName name="CDBGHJ" localSheetId="7">#REF!</definedName>
    <definedName name="CDBGHJ" localSheetId="8">#REF!</definedName>
    <definedName name="CDBGHJ" localSheetId="2">#REF!</definedName>
    <definedName name="CDBGHJ">#REF!</definedName>
    <definedName name="cdq">[1]TABLA_VENTAS!$A$3:$D$400</definedName>
    <definedName name="CFDXCFDX">[1]TABLA_VENTAS!$A$3:$D$400</definedName>
    <definedName name="chepo" localSheetId="0">[19]TABLA_VENTAS!$A$3:$D$400</definedName>
    <definedName name="chepo" localSheetId="7">[20]TABLA_VENTAS!$A$3:$D$400</definedName>
    <definedName name="chepo" localSheetId="8">[21]TABLA_VENTAS!$A$3:$D$400</definedName>
    <definedName name="chepo">[22]TABLA_VENTAS!$A$3:$D$400</definedName>
    <definedName name="chevere" localSheetId="0">[27]TABLA_VENTAS!$A$3:$D$400</definedName>
    <definedName name="chevere" localSheetId="7">[28]TABLA_VENTAS!$A$3:$D$400</definedName>
    <definedName name="chevere" localSheetId="8">[29]TABLA_VENTAS!$A$3:$D$400</definedName>
    <definedName name="chevere">[30]TABLA_VENTAS!$A$3:$D$400</definedName>
    <definedName name="CIJIN">[1]TABLA_VENTAS!$A$3:$D$400</definedName>
    <definedName name="CMJ">[1]TABLA_VENTAS!$A$3:$D$400</definedName>
    <definedName name="CNGJU">[1]TABLA_VENTAS!$A$3:$D$400</definedName>
    <definedName name="codigo" localSheetId="0">[4]TABLA_VENTAS!$A$3:$D$400</definedName>
    <definedName name="codigo" localSheetId="7">[5]TABLA_VENTAS!$A$3:$D$400</definedName>
    <definedName name="codigo" localSheetId="8">[6]TABLA_VENTAS!$A$3:$D$400</definedName>
    <definedName name="codigo">[7]TABLA_VENTAS!$A$3:$D$400</definedName>
    <definedName name="CRE">[1]TABLA_VENTAS!$A$3:$D$400</definedName>
    <definedName name="CSASCZ">'[2]TABLA-VENTAS'!$A$3:$D$400</definedName>
    <definedName name="CSDADDADAD">[1]TABLA_VENTAS!$A$3:$D$400</definedName>
    <definedName name="CUERVO">[1]TABLA_VENTAS!$A$3:$D$400</definedName>
    <definedName name="CV">'[3]TABLA-VENTAS'!$A$3:$D$400</definedName>
    <definedName name="CXD" localSheetId="4">#REF!</definedName>
    <definedName name="CXD" localSheetId="0">#REF!</definedName>
    <definedName name="CXD" localSheetId="3">#REF!</definedName>
    <definedName name="CXD" localSheetId="7">#REF!</definedName>
    <definedName name="CXD" localSheetId="8">#REF!</definedName>
    <definedName name="CXD" localSheetId="2">#REF!</definedName>
    <definedName name="CXD">#REF!</definedName>
    <definedName name="CXDF" localSheetId="4">#REF!</definedName>
    <definedName name="CXDF" localSheetId="0">#REF!</definedName>
    <definedName name="CXDF" localSheetId="3">#REF!</definedName>
    <definedName name="CXDF" localSheetId="7">#REF!</definedName>
    <definedName name="CXDF" localSheetId="8">#REF!</definedName>
    <definedName name="CXDF" localSheetId="2">#REF!</definedName>
    <definedName name="CXDF">#REF!</definedName>
    <definedName name="CXVZ">[1]TABLA_VENTAS!$A$3:$D$400</definedName>
    <definedName name="CZXC">'[3]TABLA-VENTAS'!$A$3:$D$400</definedName>
    <definedName name="d2values" localSheetId="4">{1.128,1.693,2.059,2.326,2.534,2.704,2.847,2.97,3.078,3.173,3.258,3.336,3.407,3.472,3.532,3.588,3.64,3.689,3.735,3.778,3.819,3.858,3.895,3.931}</definedName>
    <definedName name="d2values" localSheetId="0">{1.128,1.693,2.059,2.326,2.534,2.704,2.847,2.97,3.078,3.173,3.258,3.336,3.407,3.472,3.532,3.588,3.64,3.689,3.735,3.778,3.819,3.858,3.895,3.931}</definedName>
    <definedName name="d2values" localSheetId="3">{1.128,1.693,2.059,2.326,2.534,2.704,2.847,2.97,3.078,3.173,3.258,3.336,3.407,3.472,3.532,3.588,3.64,3.689,3.735,3.778,3.819,3.858,3.895,3.931}</definedName>
    <definedName name="d2values" localSheetId="7">{1.128,1.693,2.059,2.326,2.534,2.704,2.847,2.97,3.078,3.173,3.258,3.336,3.407,3.472,3.532,3.588,3.64,3.689,3.735,3.778,3.819,3.858,3.895,3.931}</definedName>
    <definedName name="d2values" localSheetId="8">{1.128,1.693,2.059,2.326,2.534,2.704,2.847,2.97,3.078,3.173,3.258,3.336,3.407,3.472,3.532,3.588,3.64,3.689,3.735,3.778,3.819,3.858,3.895,3.931}</definedName>
    <definedName name="d2values" localSheetId="2">{1.128,1.693,2.059,2.326,2.534,2.704,2.847,2.97,3.078,3.173,3.258,3.336,3.407,3.472,3.532,3.588,3.64,3.689,3.735,3.778,3.819,3.858,3.895,3.931}</definedName>
    <definedName name="d2values" localSheetId="9">{1.128,1.693,2.059,2.326,2.534,2.704,2.847,2.97,3.078,3.173,3.258,3.336,3.407,3.472,3.532,3.588,3.64,3.689,3.735,3.778,3.819,3.858,3.895,3.931}</definedName>
    <definedName name="d2values">{1.128,1.693,2.059,2.326,2.534,2.704,2.847,2.97,3.078,3.173,3.258,3.336,3.407,3.472,3.532,3.588,3.64,3.689,3.735,3.778,3.819,3.858,3.895,3.931}</definedName>
    <definedName name="d3values" localSheetId="4">{0.853,0.888,0.88,0.864,0.848,0.833,0.82,0.808,0.797,0.787,0.778,0.77,0.763,0.756,0.75,0.744,0.739,0.734,0.729,0.724,0.72,0.716,0.712,0.708}</definedName>
    <definedName name="d3values" localSheetId="0">{0.853,0.888,0.88,0.864,0.848,0.833,0.82,0.808,0.797,0.787,0.778,0.77,0.763,0.756,0.75,0.744,0.739,0.734,0.729,0.724,0.72,0.716,0.712,0.708}</definedName>
    <definedName name="d3values" localSheetId="3">{0.853,0.888,0.88,0.864,0.848,0.833,0.82,0.808,0.797,0.787,0.778,0.77,0.763,0.756,0.75,0.744,0.739,0.734,0.729,0.724,0.72,0.716,0.712,0.708}</definedName>
    <definedName name="d3values" localSheetId="7">{0.853,0.888,0.88,0.864,0.848,0.833,0.82,0.808,0.797,0.787,0.778,0.77,0.763,0.756,0.75,0.744,0.739,0.734,0.729,0.724,0.72,0.716,0.712,0.708}</definedName>
    <definedName name="d3values" localSheetId="8">{0.853,0.888,0.88,0.864,0.848,0.833,0.82,0.808,0.797,0.787,0.778,0.77,0.763,0.756,0.75,0.744,0.739,0.734,0.729,0.724,0.72,0.716,0.712,0.708}</definedName>
    <definedName name="d3values" localSheetId="2">{0.853,0.888,0.88,0.864,0.848,0.833,0.82,0.808,0.797,0.787,0.778,0.77,0.763,0.756,0.75,0.744,0.739,0.734,0.729,0.724,0.72,0.716,0.712,0.708}</definedName>
    <definedName name="d3values" localSheetId="9">{0.853,0.888,0.88,0.864,0.848,0.833,0.82,0.808,0.797,0.787,0.778,0.77,0.763,0.756,0.75,0.744,0.739,0.734,0.729,0.724,0.72,0.716,0.712,0.708}</definedName>
    <definedName name="d3values">{0.853,0.888,0.88,0.864,0.848,0.833,0.82,0.808,0.797,0.787,0.778,0.77,0.763,0.756,0.75,0.744,0.739,0.734,0.729,0.724,0.72,0.716,0.712,0.708}</definedName>
    <definedName name="DACQR">[14]TABLA_VENTAS!$A$3:$D$400</definedName>
    <definedName name="DACSFX" localSheetId="0">[27]TABLA_VENTAS!$A$3:$D$400</definedName>
    <definedName name="DACSFX" localSheetId="7">[28]TABLA_VENTAS!$A$3:$D$400</definedName>
    <definedName name="DACSFX" localSheetId="8">[29]TABLA_VENTAS!$A$3:$D$400</definedName>
    <definedName name="DACSFX">[30]TABLA_VENTAS!$A$3:$D$400</definedName>
    <definedName name="daleexcelente" localSheetId="0">[27]TABLA_VENTAS!$A$3:$D$400</definedName>
    <definedName name="daleexcelente" localSheetId="7">[28]TABLA_VENTAS!$A$3:$D$400</definedName>
    <definedName name="daleexcelente" localSheetId="8">[29]TABLA_VENTAS!$A$3:$D$400</definedName>
    <definedName name="daleexcelente">[30]TABLA_VENTAS!$A$3:$D$400</definedName>
    <definedName name="DALENTRDAS">[1]TABLA_VENTAS!$A$3:$D$400</definedName>
    <definedName name="dareqfwsaw" localSheetId="0">[23]TABLA_VENTAS!$A$3:$D$400</definedName>
    <definedName name="dareqfwsaw" localSheetId="7">[24]TABLA_VENTAS!$A$3:$D$400</definedName>
    <definedName name="dareqfwsaw" localSheetId="8">[25]TABLA_VENTAS!$A$3:$D$400</definedName>
    <definedName name="dareqfwsaw">[26]TABLA_VENTAS!$A$3:$D$400</definedName>
    <definedName name="das" localSheetId="4">#REF!</definedName>
    <definedName name="das" localSheetId="0">#REF!</definedName>
    <definedName name="das" localSheetId="3">#REF!</definedName>
    <definedName name="das" localSheetId="7">#REF!</definedName>
    <definedName name="das" localSheetId="8">#REF!</definedName>
    <definedName name="das" localSheetId="2">#REF!</definedName>
    <definedName name="das">#REF!</definedName>
    <definedName name="DASDS">'[2]TABLA-VENTAS'!$A$3:$D$400</definedName>
    <definedName name="DASDSA">[1]TABLA_VENTAS!$A$3:$D$400</definedName>
    <definedName name="dasdw">[1]TABLA_VENTAS!$A$3:$D$400</definedName>
    <definedName name="DASES">[1]TABLA_VENTAS!$A$3:$D$400</definedName>
    <definedName name="DASLOÑP" localSheetId="0">[4]TABLA_VENTAS!$A$3:$D$400</definedName>
    <definedName name="DASLOÑP" localSheetId="7">[5]TABLA_VENTAS!$A$3:$D$400</definedName>
    <definedName name="DASLOÑP" localSheetId="8">[6]TABLA_VENTAS!$A$3:$D$400</definedName>
    <definedName name="DASLOÑP">[7]TABLA_VENTAS!$A$3:$D$400</definedName>
    <definedName name="daswd" localSheetId="4">#REF!</definedName>
    <definedName name="daswd" localSheetId="0">#REF!</definedName>
    <definedName name="daswd" localSheetId="3">#REF!</definedName>
    <definedName name="daswd" localSheetId="7">#REF!</definedName>
    <definedName name="daswd" localSheetId="8">#REF!</definedName>
    <definedName name="daswd" localSheetId="2">#REF!</definedName>
    <definedName name="daswd">#REF!</definedName>
    <definedName name="DATA" localSheetId="4">#REF!</definedName>
    <definedName name="DATA" localSheetId="0">#REF!</definedName>
    <definedName name="DATA" localSheetId="3">#REF!</definedName>
    <definedName name="DATA" localSheetId="7">#REF!</definedName>
    <definedName name="DATA" localSheetId="8">#REF!</definedName>
    <definedName name="DATA" localSheetId="2">#REF!</definedName>
    <definedName name="DATA">#REF!</definedName>
    <definedName name="DATA_01" localSheetId="0" hidden="1">'[31]Estrategia Renta apartaestudios'!#REF!</definedName>
    <definedName name="DATA_01" localSheetId="3" hidden="1">'[31]Estrategia Renta apartaestudios'!#REF!</definedName>
    <definedName name="DATA_01" localSheetId="7" hidden="1">'[31]Estrategia Renta apartaestudios'!#REF!</definedName>
    <definedName name="DATA_01" localSheetId="8" hidden="1">'[31]Estrategia Renta apartaestudios'!#REF!</definedName>
    <definedName name="DATA_01" localSheetId="2" hidden="1">'[31]Estrategia Renta apartaestudios'!#REF!</definedName>
    <definedName name="DATA_01" hidden="1">'[31]Estrategia Renta apartaestudios'!#REF!</definedName>
    <definedName name="DATA_02" hidden="1">'[32]Estrategia &amp; Reglas'!$D$4:$D$10</definedName>
    <definedName name="DATA_03" localSheetId="0" hidden="1">'[31]Estrategia Renta apartaestudios'!#REF!</definedName>
    <definedName name="DATA_03" localSheetId="7" hidden="1">'[31]Estrategia Renta apartaestudios'!#REF!</definedName>
    <definedName name="DATA_03" localSheetId="8" hidden="1">'[31]Estrategia Renta apartaestudios'!#REF!</definedName>
    <definedName name="DATA_03" hidden="1">'[31]Estrategia Renta apartaestudios'!#REF!</definedName>
    <definedName name="DATA_04" localSheetId="0" hidden="1">'[31]Estrategia Renta apartaestudios'!#REF!</definedName>
    <definedName name="DATA_04" localSheetId="7" hidden="1">'[31]Estrategia Renta apartaestudios'!#REF!</definedName>
    <definedName name="DATA_04" localSheetId="8" hidden="1">'[31]Estrategia Renta apartaestudios'!#REF!</definedName>
    <definedName name="DATA_04" hidden="1">'[31]Estrategia Renta apartaestudios'!#REF!</definedName>
    <definedName name="DATA_05" localSheetId="0" hidden="1">'[31]Estrategia Renta apartaestudios'!#REF!</definedName>
    <definedName name="DATA_05" localSheetId="7" hidden="1">'[31]Estrategia Renta apartaestudios'!#REF!</definedName>
    <definedName name="DATA_05" localSheetId="8" hidden="1">'[31]Estrategia Renta apartaestudios'!#REF!</definedName>
    <definedName name="DATA_05" hidden="1">'[31]Estrategia Renta apartaestudios'!#REF!</definedName>
    <definedName name="DATA_EGP" localSheetId="4">OFFSET(#REF!,0,0,COUNTA(#REF!),COUNTA(#REF!))</definedName>
    <definedName name="DATA_EGP" localSheetId="0">OFFSET(#REF!,0,0,COUNTA(#REF!),COUNTA(#REF!))</definedName>
    <definedName name="DATA_EGP" localSheetId="3">OFFSET(#REF!,0,0,COUNTA(#REF!),COUNTA(#REF!))</definedName>
    <definedName name="DATA_EGP" localSheetId="7">OFFSET(#REF!,0,0,COUNTA(#REF!),COUNTA(#REF!))</definedName>
    <definedName name="DATA_EGP" localSheetId="8">OFFSET(#REF!,0,0,COUNTA(#REF!),COUNTA(#REF!))</definedName>
    <definedName name="DATA_EGP" localSheetId="2">OFFSET(#REF!,0,0,COUNTA(#REF!),COUNTA(#REF!))</definedName>
    <definedName name="DATA_EGP">OFFSET(#REF!,0,0,COUNTA(#REF!),COUNTA(#REF!))</definedName>
    <definedName name="DATA_PAROS" localSheetId="4">OFFSET(#REF!,0,0,COUNTA(#REF!),COUNTA(#REF!))</definedName>
    <definedName name="DATA_PAROS" localSheetId="0">OFFSET(#REF!,0,0,COUNTA(#REF!),COUNTA(#REF!))</definedName>
    <definedName name="DATA_PAROS" localSheetId="3">OFFSET(#REF!,0,0,COUNTA(#REF!),COUNTA(#REF!))</definedName>
    <definedName name="DATA_PAROS" localSheetId="7">OFFSET(#REF!,0,0,COUNTA(#REF!),COUNTA(#REF!))</definedName>
    <definedName name="DATA_PAROS" localSheetId="8">OFFSET(#REF!,0,0,COUNTA(#REF!),COUNTA(#REF!))</definedName>
    <definedName name="DATA_PAROS" localSheetId="2">OFFSET(#REF!,0,0,COUNTA(#REF!),COUNTA(#REF!))</definedName>
    <definedName name="DATA_PAROS">OFFSET(#REF!,0,0,COUNTA(#REF!),COUNTA(#REF!))</definedName>
    <definedName name="DATA1" localSheetId="7">OFFSET('[33]1.1 BD-Segui'!$A$1,0,0,COUNTA('[33]1.1 BD-Segui'!$A:$A),COUNTA('[33]1.1 BD-Segui'!$1:$1))</definedName>
    <definedName name="DATA1" localSheetId="8">OFFSET('[34]1.1 BD-Segui'!$A$1,0,0,COUNTA('[34]1.1 BD-Segui'!$A:$A),COUNTA('[34]1.1 BD-Segui'!$1:$1))</definedName>
    <definedName name="DATA1">OFFSET('[35]1.1 BD-Segui'!$A$1,0,0,COUNTA('[35]1.1 BD-Segui'!$A:$A),COUNTA('[35]1.1 BD-Segui'!$1:$1))</definedName>
    <definedName name="DATA22" localSheetId="0">[36]Hoja1!#REF!</definedName>
    <definedName name="DATA22" localSheetId="3">[36]Hoja1!#REF!</definedName>
    <definedName name="DATA22" localSheetId="7">[37]Hoja1!#REF!</definedName>
    <definedName name="DATA22" localSheetId="8">[38]Hoja1!#REF!</definedName>
    <definedName name="DATA22" localSheetId="2">[36]Hoja1!#REF!</definedName>
    <definedName name="DATA22">[36]Hoja1!#REF!</definedName>
    <definedName name="DATA23" localSheetId="0">[36]Hoja1!#REF!</definedName>
    <definedName name="DATA23" localSheetId="7">[37]Hoja1!#REF!</definedName>
    <definedName name="DATA23" localSheetId="8">[38]Hoja1!#REF!</definedName>
    <definedName name="DATA23">[36]Hoja1!#REF!</definedName>
    <definedName name="DATA24" localSheetId="0">[36]Hoja1!#REF!</definedName>
    <definedName name="DATA24" localSheetId="7">[37]Hoja1!#REF!</definedName>
    <definedName name="DATA24" localSheetId="8">[38]Hoja1!#REF!</definedName>
    <definedName name="DATA24">[36]Hoja1!#REF!</definedName>
    <definedName name="DATA25" localSheetId="0">[36]Hoja1!#REF!</definedName>
    <definedName name="DATA25" localSheetId="7">[37]Hoja1!#REF!</definedName>
    <definedName name="DATA25" localSheetId="8">[38]Hoja1!#REF!</definedName>
    <definedName name="DATA25">[36]Hoja1!#REF!</definedName>
    <definedName name="DATAG" localSheetId="4">OFFSET(#REF!,0,0,COUNTA(#REF!),COUNTA(#REF!))</definedName>
    <definedName name="DATAG" localSheetId="0">OFFSET('[39]BD-General'!$A$1,0,0,COUNTA('[39]BD-General'!$A:$A),COUNTA('[39]BD-General'!$1:$1))</definedName>
    <definedName name="DATAG" localSheetId="3">OFFSET(#REF!,0,0,COUNTA(#REF!),COUNTA(#REF!))</definedName>
    <definedName name="DATAG" localSheetId="7">OFFSET(#REF!,0,0,COUNTA(#REF!),COUNTA(#REF!))</definedName>
    <definedName name="DATAG" localSheetId="8">OFFSET(#REF!,0,0,COUNTA(#REF!),COUNTA(#REF!))</definedName>
    <definedName name="DATAG" localSheetId="2">OFFSET(#REF!,0,0,COUNTA(#REF!),COUNTA(#REF!))</definedName>
    <definedName name="DATAG">OFFSET(#REF!,0,0,COUNTA(#REF!),COUNTA(#REF!))</definedName>
    <definedName name="DATAPA" localSheetId="4">OFFSET(#REF!,0,0,COUNTA(#REF!),COUNTA(#REF!))</definedName>
    <definedName name="DATAPA" localSheetId="0">OFFSET('[39]BD-PA'!$A$1,0,0,COUNTA('[39]BD-PA'!$A:$A),COUNTA('[39]BD-PA'!$1:$1))</definedName>
    <definedName name="DATAPA" localSheetId="3">OFFSET(#REF!,0,0,COUNTA(#REF!),COUNTA(#REF!))</definedName>
    <definedName name="DATAPA" localSheetId="7">OFFSET(#REF!,0,0,COUNTA(#REF!),COUNTA(#REF!))</definedName>
    <definedName name="DATAPA" localSheetId="8">OFFSET(#REF!,0,0,COUNTA(#REF!),COUNTA(#REF!))</definedName>
    <definedName name="DATAPA" localSheetId="2">OFFSET(#REF!,0,0,COUNTA(#REF!),COUNTA(#REF!))</definedName>
    <definedName name="DATAPA">OFFSET(#REF!,0,0,COUNTA(#REF!),COUNTA(#REF!))</definedName>
    <definedName name="DATOPROM" localSheetId="4">#REF!</definedName>
    <definedName name="DATOPROM" localSheetId="0">#REF!</definedName>
    <definedName name="DATOPROM" localSheetId="3">#REF!</definedName>
    <definedName name="DATOPROM" localSheetId="7">#REF!</definedName>
    <definedName name="DATOPROM" localSheetId="8">#REF!</definedName>
    <definedName name="DATOPROM" localSheetId="2">#REF!</definedName>
    <definedName name="DATOPROM">#REF!</definedName>
    <definedName name="DATOPROMEDIO" localSheetId="4">#REF!</definedName>
    <definedName name="DATOPROMEDIO" localSheetId="0">#REF!</definedName>
    <definedName name="DATOPROMEDIO" localSheetId="3">#REF!</definedName>
    <definedName name="DATOPROMEDIO" localSheetId="7">#REF!</definedName>
    <definedName name="DATOPROMEDIO" localSheetId="8">#REF!</definedName>
    <definedName name="DATOPROMEDIO" localSheetId="2">#REF!</definedName>
    <definedName name="DATOPROMEDIO">#REF!</definedName>
    <definedName name="DCVH" localSheetId="4">#REF!</definedName>
    <definedName name="DCVH" localSheetId="0">#REF!</definedName>
    <definedName name="DCVH" localSheetId="3">#REF!</definedName>
    <definedName name="DCVH" localSheetId="7">#REF!</definedName>
    <definedName name="DCVH" localSheetId="8">#REF!</definedName>
    <definedName name="DCVH" localSheetId="2">#REF!</definedName>
    <definedName name="DCVH">#REF!</definedName>
    <definedName name="DCXSA" localSheetId="4">#REF!</definedName>
    <definedName name="DCXSA" localSheetId="0">#REF!</definedName>
    <definedName name="DCXSA" localSheetId="3">#REF!</definedName>
    <definedName name="DCXSA" localSheetId="7">#REF!</definedName>
    <definedName name="DCXSA" localSheetId="8">#REF!</definedName>
    <definedName name="DCXSA" localSheetId="2">#REF!</definedName>
    <definedName name="DCXSA">#REF!</definedName>
    <definedName name="DEA">[1]TABLA_VENTAS!$A$3:$D$400</definedName>
    <definedName name="DEAZ">[1]TABLA_VENTAS!$A$3:$D$400</definedName>
    <definedName name="deazpn" localSheetId="0">[27]TABLA_VENTAS!$A$3:$D$400</definedName>
    <definedName name="deazpn" localSheetId="7">[28]TABLA_VENTAS!$A$3:$D$400</definedName>
    <definedName name="deazpn" localSheetId="8">[29]TABLA_VENTAS!$A$3:$D$400</definedName>
    <definedName name="deazpn">[30]TABLA_VENTAS!$A$3:$D$400</definedName>
    <definedName name="debgñ" localSheetId="0">[27]TABLA_VENTAS!$A$3:$D$400</definedName>
    <definedName name="debgñ" localSheetId="7">[28]TABLA_VENTAS!$A$3:$D$400</definedName>
    <definedName name="debgñ" localSheetId="8">[29]TABLA_VENTAS!$A$3:$D$400</definedName>
    <definedName name="debgñ">[30]TABLA_VENTAS!$A$3:$D$400</definedName>
    <definedName name="defeajqp" localSheetId="0">[27]TABLA_VENTAS!$A$3:$D$400</definedName>
    <definedName name="defeajqp" localSheetId="7">[28]TABLA_VENTAS!$A$3:$D$400</definedName>
    <definedName name="defeajqp" localSheetId="8">[29]TABLA_VENTAS!$A$3:$D$400</definedName>
    <definedName name="defeajqp">[30]TABLA_VENTAS!$A$3:$D$400</definedName>
    <definedName name="deferebnm">[1]TABLA_VENTAS!$A$3:$D$400</definedName>
    <definedName name="DEFERJ">[1]TABLA_VENTAS!$A$3:$D$400</definedName>
    <definedName name="DEFR">[1]TABLA_VENTAS!$A$3:$D$400</definedName>
    <definedName name="DEFRACFGH" localSheetId="0">[4]TABLA_VENTAS!$A$3:$D$400</definedName>
    <definedName name="DEFRACFGH" localSheetId="7">[5]TABLA_VENTAS!$A$3:$D$400</definedName>
    <definedName name="DEFRACFGH" localSheetId="8">[6]TABLA_VENTAS!$A$3:$D$400</definedName>
    <definedName name="DEFRACFGH">[7]TABLA_VENTAS!$A$3:$D$400</definedName>
    <definedName name="DEFRDGF">[1]TABLA_VENTAS!$A$3:$D$400</definedName>
    <definedName name="DEFREGAR" localSheetId="0">[23]TABLA_VENTAS!$A$3:$D$400</definedName>
    <definedName name="DEFREGAR" localSheetId="7">[24]TABLA_VENTAS!$A$3:$D$400</definedName>
    <definedName name="DEFREGAR" localSheetId="8">[25]TABLA_VENTAS!$A$3:$D$400</definedName>
    <definedName name="DEFREGAR">[26]TABLA_VENTAS!$A$3:$D$400</definedName>
    <definedName name="DEFRSAWQSWA">[1]TABLA_VENTAS!$A$3:$D$400</definedName>
    <definedName name="DEPENDENCIA" localSheetId="7">'[40]BASE DE DATOS'!$A$4:$A$150</definedName>
    <definedName name="DEPENDENCIA" localSheetId="8">'[41]BASE DE DATOS'!$A$4:$A$150</definedName>
    <definedName name="DEPENDENCIA">'[42]BASE DE DATOS'!$A$4:$A$150</definedName>
    <definedName name="DEPOL" localSheetId="0">[4]TABLA_VENTAS!$A$3:$D$400</definedName>
    <definedName name="DEPOL" localSheetId="7">[5]TABLA_VENTAS!$A$3:$D$400</definedName>
    <definedName name="DEPOL" localSheetId="8">[6]TABLA_VENTAS!$A$3:$D$400</definedName>
    <definedName name="DEPOL">[7]TABLA_VENTAS!$A$3:$D$400</definedName>
    <definedName name="DERESDF">'[2]TABLA-VENTAS'!$A$3:$D$400</definedName>
    <definedName name="dersas">'[2]TABLA-VENTAS'!$A$3:$D$400</definedName>
    <definedName name="dersdf">'[2]TABLA-VENTAS'!$A$3:$D$400</definedName>
    <definedName name="dert" localSheetId="4">#REF!</definedName>
    <definedName name="dert" localSheetId="0">#REF!</definedName>
    <definedName name="dert" localSheetId="3">#REF!</definedName>
    <definedName name="dert" localSheetId="7">#REF!</definedName>
    <definedName name="dert" localSheetId="8">#REF!</definedName>
    <definedName name="dert" localSheetId="2">#REF!</definedName>
    <definedName name="dert">#REF!</definedName>
    <definedName name="DESF">'[2]TABLA-VENTAS'!$A$3:$D$400</definedName>
    <definedName name="DESR">'[2]TABLA-VENTAS'!$A$3:$D$400</definedName>
    <definedName name="desras">'[2]TABLA-VENTAS'!$A$3:$D$400</definedName>
    <definedName name="DESRSD">'[2]TABLA-VENTAS'!$A$3:$D$400</definedName>
    <definedName name="desrt">'[2]TABLA-VENTAS'!$A$3:$D$400</definedName>
    <definedName name="DET">[1]TABLA_VENTAS!$A$3:$D$400</definedName>
    <definedName name="DETALLE" localSheetId="4">#REF!</definedName>
    <definedName name="DETALLE" localSheetId="0">#REF!</definedName>
    <definedName name="DETALLE" localSheetId="3">#REF!</definedName>
    <definedName name="DETALLE" localSheetId="7">#REF!</definedName>
    <definedName name="DETALLE" localSheetId="8">#REF!</definedName>
    <definedName name="DETALLE" localSheetId="2">#REF!</definedName>
    <definedName name="DETALLE">#REF!</definedName>
    <definedName name="DEXY">[1]TABLA_VENTAS!$A$3:$D$400</definedName>
    <definedName name="DF">'[3]TABLA-VENTAS'!$A$3:$D$400</definedName>
    <definedName name="DFADSF">'[3]TABLA-VENTAS'!$A$3:$D$400</definedName>
    <definedName name="DFASDVS">'[3]TABLA-VENTAS'!$A$3:$D$400</definedName>
    <definedName name="DFCV">[12]TABLA_VENTAS!$A$3:$D$400</definedName>
    <definedName name="DFDFV">[1]TABLA_VENTAS!$A$3:$D$400</definedName>
    <definedName name="DFDSF">'[3]TABLA-VENTAS'!$A$3:$D$400</definedName>
    <definedName name="dfdsfds">'[3]TABLA-VENTAS'!$A$3:$D$400</definedName>
    <definedName name="DFDTE">'[2]TABLA-VENTAS'!$A$3:$D$400</definedName>
    <definedName name="DFEADF">'[2]TABLA-VENTAS'!$A$3:$D$400</definedName>
    <definedName name="DFEASGS">'[2]TABLA-VENTAS'!$A$3:$D$400</definedName>
    <definedName name="dfersf">'[2]TABLA-VENTAS'!$A$3:$D$400</definedName>
    <definedName name="DFES">'[2]TABLA-VENTAS'!$A$3:$D$400</definedName>
    <definedName name="DFESF">'[2]TABLA-VENTAS'!$A$3:$D$400</definedName>
    <definedName name="DFESFD">'[2]TABLA-VENTAS'!$A$3:$D$400</definedName>
    <definedName name="DFEW">'[2]TABLA-VENTAS'!$A$3:$D$400</definedName>
    <definedName name="DFG">[1]TABLA_VENTAS!$A$3:$D$400</definedName>
    <definedName name="DFGFDG">'[3]TABLA-VENTAS'!$A$3:$D$400</definedName>
    <definedName name="dfqpazm" localSheetId="0">[27]TABLA_VENTAS!$A$3:$D$400</definedName>
    <definedName name="dfqpazm" localSheetId="7">[28]TABLA_VENTAS!$A$3:$D$400</definedName>
    <definedName name="dfqpazm" localSheetId="8">[29]TABLA_VENTAS!$A$3:$D$400</definedName>
    <definedName name="dfqpazm">[30]TABLA_VENTAS!$A$3:$D$400</definedName>
    <definedName name="DFR">'[43]TABLA-VENTAS'!$A$3:$D$400</definedName>
    <definedName name="DFRE">[1]TABLA_VENTAS!$A$3:$D$400</definedName>
    <definedName name="DFRER">[1]TABLA_VENTAS!$A$3:$D$400</definedName>
    <definedName name="DFSDF">'[3]TABLA-VENTAS'!$A$3:$D$400</definedName>
    <definedName name="DFSEW">[1]TABLA_VENTAS!$A$3:$D$400</definedName>
    <definedName name="DFSF">'[3]TABLA-VENTAS'!$A$3:$D$400</definedName>
    <definedName name="DGED">[1]TABLA_VENTAS!$A$3:$D$400</definedName>
    <definedName name="dieguito" localSheetId="0">[27]TABLA_VENTAS!$A$3:$D$400</definedName>
    <definedName name="dieguito" localSheetId="7">[28]TABLA_VENTAS!$A$3:$D$400</definedName>
    <definedName name="dieguito" localSheetId="8">[29]TABLA_VENTAS!$A$3:$D$400</definedName>
    <definedName name="dieguito">[30]TABLA_VENTAS!$A$3:$D$400</definedName>
    <definedName name="DIMAJA">[1]TABLA_VENTAS!$A$3:$D$400</definedName>
    <definedName name="DIOS" localSheetId="0">[4]TABLA_VENTAS!$A$3:$D$400</definedName>
    <definedName name="DIOS" localSheetId="7">[5]TABLA_VENTAS!$A$3:$D$400</definedName>
    <definedName name="DIOS" localSheetId="8">[6]TABLA_VENTAS!$A$3:$D$400</definedName>
    <definedName name="DIOS">[7]TABLA_VENTAS!$A$3:$D$400</definedName>
    <definedName name="DOCUMENTOFECHAAPROBACION" localSheetId="0">'[44]VICTOR ARREDONDO.'!#REF!</definedName>
    <definedName name="DOCUMENTOFECHAAPROBACION" localSheetId="7">'[44]VICTOR ARREDONDO.'!#REF!</definedName>
    <definedName name="DOCUMENTOFECHAAPROBACION" localSheetId="8">'[44]VICTOR ARREDONDO.'!#REF!</definedName>
    <definedName name="DOCUMENTOFECHAAPROBACION">'[44]VICTOR ARREDONDO.'!#REF!</definedName>
    <definedName name="DOCUMENTOVERSION" localSheetId="0">'[44]VICTOR ARREDONDO.'!#REF!</definedName>
    <definedName name="DOCUMENTOVERSION" localSheetId="7">'[44]VICTOR ARREDONDO.'!#REF!</definedName>
    <definedName name="DOCUMENTOVERSION" localSheetId="8">'[44]VICTOR ARREDONDO.'!#REF!</definedName>
    <definedName name="DOCUMENTOVERSION">'[44]VICTOR ARREDONDO.'!#REF!</definedName>
    <definedName name="DR">[1]TABLA_VENTAS!$A$3:$D$400</definedName>
    <definedName name="DS">'[3]TABLA-VENTAS'!$A$3:$D$400</definedName>
    <definedName name="dsaaaa">'[2]TABLA-VENTAS'!$A$3:$D$400</definedName>
    <definedName name="dsacxc">'[3]TABLA-VENTAS'!$A$3:$D$400</definedName>
    <definedName name="DSAD" localSheetId="4">#REF!</definedName>
    <definedName name="DSAD" localSheetId="0">#REF!</definedName>
    <definedName name="DSAD" localSheetId="3">#REF!</definedName>
    <definedName name="DSAD" localSheetId="7">#REF!</definedName>
    <definedName name="DSAD" localSheetId="8">#REF!</definedName>
    <definedName name="DSAD" localSheetId="2">#REF!</definedName>
    <definedName name="DSAD">#REF!</definedName>
    <definedName name="dsadsa">'[3]TABLA-VENTAS'!$A$3:$D$400</definedName>
    <definedName name="DSAFSAD">'[3]TABLA-VENTAS'!$A$3:$D$400</definedName>
    <definedName name="DSDS">'[3]TABLA-VENTAS'!$A$3:$D$400</definedName>
    <definedName name="DSDSA">'[3]TABLA-VENTAS'!$A$3:$D$400</definedName>
    <definedName name="dSDSAD">'[3]TABLA-VENTAS'!$A$3:$D$400</definedName>
    <definedName name="DSDWAD">'[2]TABLA-VENTAS'!$A$3:$D$400</definedName>
    <definedName name="DSEAFS">'[2]TABLA-VENTAS'!$A$3:$D$400</definedName>
    <definedName name="DSEWF">'[2]TABLA-VENTAS'!$A$3:$D$400</definedName>
    <definedName name="DSFSDF">'[3]TABLA-VENTAS'!$A$3:$D$400</definedName>
    <definedName name="DSRE">[1]TABLA_VENTAS!$A$3:$D$400</definedName>
    <definedName name="DSRWA">'[2]TABLA-VENTAS'!$A$3:$D$400</definedName>
    <definedName name="DSW">[1]TABLA_VENTAS!$A$3:$D$400</definedName>
    <definedName name="DSWFAS">'[2]TABLA-VENTAS'!$A$3:$D$400</definedName>
    <definedName name="DTE">[1]TABLA_VENTAS!$A$3:$D$400</definedName>
    <definedName name="DTRE">[1]TABLA_VENTAS!$A$3:$D$400</definedName>
    <definedName name="dwa">'[2]TABLA-VENTAS'!$A$3:$D$400</definedName>
    <definedName name="dwad">'[2]TABLA-VENTAS'!$A$3:$D$400</definedName>
    <definedName name="DWASD">'[2]TABLA-VENTAS'!$A$3:$D$400</definedName>
    <definedName name="DWESADS">'[2]TABLA-VENTAS'!$A$3:$D$400</definedName>
    <definedName name="DWFF">[1]TABLA_VENTAS!$A$3:$D$400</definedName>
    <definedName name="DWFSDF" localSheetId="4">#REF!</definedName>
    <definedName name="DWFSDF" localSheetId="0">#REF!</definedName>
    <definedName name="DWFSDF" localSheetId="3">#REF!</definedName>
    <definedName name="DWFSDF" localSheetId="7">#REF!</definedName>
    <definedName name="DWFSDF" localSheetId="8">#REF!</definedName>
    <definedName name="DWFSDF" localSheetId="2">#REF!</definedName>
    <definedName name="DWFSDF">#REF!</definedName>
    <definedName name="DZER">[1]TABLA_VENTAS!$A$3:$D$400</definedName>
    <definedName name="E" localSheetId="4">OFFSET(#REF!,0,0,COUNTA(#REF!),COUNTA(#REF!))</definedName>
    <definedName name="E" localSheetId="0">OFFSET(#REF!,0,0,COUNTA(#REF!),COUNTA(#REF!))</definedName>
    <definedName name="E" localSheetId="3">OFFSET(#REF!,0,0,COUNTA(#REF!),COUNTA(#REF!))</definedName>
    <definedName name="E" localSheetId="7">OFFSET(#REF!,0,0,COUNTA(#REF!),COUNTA(#REF!))</definedName>
    <definedName name="E" localSheetId="8">OFFSET(#REF!,0,0,COUNTA(#REF!),COUNTA(#REF!))</definedName>
    <definedName name="E" localSheetId="2">OFFSET(#REF!,0,0,COUNTA(#REF!),COUNTA(#REF!))</definedName>
    <definedName name="E">OFFSET(#REF!,0,0,COUNTA(#REF!),COUNTA(#REF!))</definedName>
    <definedName name="E3QWQ">'[2]TABLA-VENTAS'!$A$3:$D$400</definedName>
    <definedName name="EASY">[1]TABLA_VENTAS!$A$3:$D$400</definedName>
    <definedName name="EDC" localSheetId="4">#REF!</definedName>
    <definedName name="EDC" localSheetId="0">#REF!</definedName>
    <definedName name="EDC" localSheetId="3">#REF!</definedName>
    <definedName name="EDC" localSheetId="7">#REF!</definedName>
    <definedName name="EDC" localSheetId="8">#REF!</definedName>
    <definedName name="EDC" localSheetId="2">#REF!</definedName>
    <definedName name="EDC">#REF!</definedName>
    <definedName name="EDCV" localSheetId="4">#REF!</definedName>
    <definedName name="EDCV" localSheetId="0">#REF!</definedName>
    <definedName name="EDCV" localSheetId="3">#REF!</definedName>
    <definedName name="EDCV" localSheetId="7">#REF!</definedName>
    <definedName name="EDCV" localSheetId="8">#REF!</definedName>
    <definedName name="EDCV" localSheetId="2">#REF!</definedName>
    <definedName name="EDCV">#REF!</definedName>
    <definedName name="edf" localSheetId="4">#REF!</definedName>
    <definedName name="edf" localSheetId="0">#REF!</definedName>
    <definedName name="edf" localSheetId="3">#REF!</definedName>
    <definedName name="edf" localSheetId="7">#REF!</definedName>
    <definedName name="edf" localSheetId="8">#REF!</definedName>
    <definedName name="edf" localSheetId="2">#REF!</definedName>
    <definedName name="edf">#REF!</definedName>
    <definedName name="EDWIN">[1]TABLA_VENTAS!$A$3:$D$400</definedName>
    <definedName name="EERAS">'[2]TABLA-VENTAS'!$A$3:$D$400</definedName>
    <definedName name="EFGRTF">'[2]TABLA-VENTAS'!$A$3:$D$400</definedName>
    <definedName name="EFSERF">'[2]TABLA-VENTAS'!$A$3:$D$400</definedName>
    <definedName name="EGP_DIA" localSheetId="4">OFFSET(#REF!,0,0,1,#REF!)</definedName>
    <definedName name="EGP_DIA" localSheetId="0">OFFSET(#REF!,0,0,1,#REF!)</definedName>
    <definedName name="EGP_DIA" localSheetId="3">OFFSET(#REF!,0,0,1,#REF!)</definedName>
    <definedName name="EGP_DIA" localSheetId="7">OFFSET(#REF!,0,0,1,#REF!)</definedName>
    <definedName name="EGP_DIA" localSheetId="8">OFFSET(#REF!,0,0,1,#REF!)</definedName>
    <definedName name="EGP_DIA" localSheetId="2">OFFSET(#REF!,0,0,1,#REF!)</definedName>
    <definedName name="EGP_DIA">OFFSET(#REF!,0,0,1,#REF!)</definedName>
    <definedName name="EGP_EGP" localSheetId="4">OFFSET(#REF!,0,0,1,#REF!)</definedName>
    <definedName name="EGP_EGP" localSheetId="0">OFFSET(#REF!,0,0,1,#REF!)</definedName>
    <definedName name="EGP_EGP" localSheetId="3">OFFSET(#REF!,0,0,1,#REF!)</definedName>
    <definedName name="EGP_EGP" localSheetId="7">OFFSET(#REF!,0,0,1,#REF!)</definedName>
    <definedName name="EGP_EGP" localSheetId="8">OFFSET(#REF!,0,0,1,#REF!)</definedName>
    <definedName name="EGP_EGP" localSheetId="2">OFFSET(#REF!,0,0,1,#REF!)</definedName>
    <definedName name="EGP_EGP">OFFSET(#REF!,0,0,1,#REF!)</definedName>
    <definedName name="EGP_META" localSheetId="4">OFFSET(#REF!,0,0,1,#REF!)</definedName>
    <definedName name="EGP_META" localSheetId="0">OFFSET(#REF!,0,0,1,#REF!)</definedName>
    <definedName name="EGP_META" localSheetId="3">OFFSET(#REF!,0,0,1,#REF!)</definedName>
    <definedName name="EGP_META" localSheetId="7">OFFSET(#REF!,0,0,1,#REF!)</definedName>
    <definedName name="EGP_META" localSheetId="8">OFFSET(#REF!,0,0,1,#REF!)</definedName>
    <definedName name="EGP_META" localSheetId="2">OFFSET(#REF!,0,0,1,#REF!)</definedName>
    <definedName name="EGP_META">OFFSET(#REF!,0,0,1,#REF!)</definedName>
    <definedName name="ekidad" localSheetId="0">[23]TABLA_VENTAS!$A$3:$D$400</definedName>
    <definedName name="ekidad" localSheetId="7">[24]TABLA_VENTAS!$A$3:$D$400</definedName>
    <definedName name="ekidad" localSheetId="8">[25]TABLA_VENTAS!$A$3:$D$400</definedName>
    <definedName name="ekidad">[26]TABLA_VENTAS!$A$3:$D$400</definedName>
    <definedName name="ELDIADEHOYESEXCELENTE" localSheetId="0">[27]TABLA_VENTAS!$A$3:$D$400</definedName>
    <definedName name="ELDIADEHOYESEXCELENTE" localSheetId="7">[28]TABLA_VENTAS!$A$3:$D$400</definedName>
    <definedName name="ELDIADEHOYESEXCELENTE" localSheetId="8">[29]TABLA_VENTAS!$A$3:$D$400</definedName>
    <definedName name="ELDIADEHOYESEXCELENTE">[30]TABLA_VENTAS!$A$3:$D$400</definedName>
    <definedName name="ELEGANCIA" localSheetId="0">[27]TABLA_VENTAS!$A$3:$D$400</definedName>
    <definedName name="ELEGANCIA" localSheetId="7">[28]TABLA_VENTAS!$A$3:$D$400</definedName>
    <definedName name="ELEGANCIA" localSheetId="8">[29]TABLA_VENTAS!$A$3:$D$400</definedName>
    <definedName name="ELEGANCIA">[30]TABLA_VENTAS!$A$3:$D$400</definedName>
    <definedName name="ELEGANTESIMO" localSheetId="0">[27]TABLA_VENTAS!$A$3:$D$400</definedName>
    <definedName name="ELEGANTESIMO" localSheetId="7">[28]TABLA_VENTAS!$A$3:$D$400</definedName>
    <definedName name="ELEGANTESIMO" localSheetId="8">[29]TABLA_VENTAS!$A$3:$D$400</definedName>
    <definedName name="ELEGANTESIMO">[30]TABLA_VENTAS!$A$3:$D$400</definedName>
    <definedName name="entusiasmo" localSheetId="0">[8]TABLA_VENTAS!$A$3:$D$400</definedName>
    <definedName name="entusiasmo" localSheetId="7">[9]TABLA_VENTAS!$A$3:$D$400</definedName>
    <definedName name="entusiasmo" localSheetId="8">[10]TABLA_VENTAS!$A$3:$D$400</definedName>
    <definedName name="entusiasmo">[11]TABLA_VENTAS!$A$3:$D$400</definedName>
    <definedName name="eñp" localSheetId="4">#REF!</definedName>
    <definedName name="eñp" localSheetId="0">#REF!</definedName>
    <definedName name="eñp" localSheetId="3">#REF!</definedName>
    <definedName name="eñp" localSheetId="7">#REF!</definedName>
    <definedName name="eñp" localSheetId="8">#REF!</definedName>
    <definedName name="eñp" localSheetId="2">#REF!</definedName>
    <definedName name="eñp">#REF!</definedName>
    <definedName name="equidad" localSheetId="0">[23]TABLA_VENTAS!$A$3:$D$400</definedName>
    <definedName name="equidad" localSheetId="7">[24]TABLA_VENTAS!$A$3:$D$400</definedName>
    <definedName name="equidad" localSheetId="8">[25]TABLA_VENTAS!$A$3:$D$400</definedName>
    <definedName name="equidad">[26]TABLA_VENTAS!$A$3:$D$400</definedName>
    <definedName name="ERE">'[3]TABLA-VENTAS'!$A$3:$D$400</definedName>
    <definedName name="EREFS">'[2]TABLA-VENTAS'!$A$3:$D$400</definedName>
    <definedName name="erf" localSheetId="4">#REF!</definedName>
    <definedName name="erf" localSheetId="0">#REF!</definedName>
    <definedName name="erf" localSheetId="3">#REF!</definedName>
    <definedName name="erf" localSheetId="7">#REF!</definedName>
    <definedName name="erf" localSheetId="8">#REF!</definedName>
    <definedName name="erf" localSheetId="2">#REF!</definedName>
    <definedName name="erf">#REF!</definedName>
    <definedName name="ERRRR">'[2]TABLA-VENTAS'!$A$3:$D$400</definedName>
    <definedName name="ERSF">[1]TABLA_VENTAS!$A$3:$D$400</definedName>
    <definedName name="ESFASD">'[2]TABLA-VENTAS'!$A$3:$D$400</definedName>
    <definedName name="ESXITOSOMIJO">[1]TABLA_VENTAS!$A$3:$D$400</definedName>
    <definedName name="ET">'[3]TABLA-VENTAS'!$A$3:$D$400</definedName>
    <definedName name="ety" localSheetId="4">#REF!</definedName>
    <definedName name="ety" localSheetId="0">#REF!</definedName>
    <definedName name="ety" localSheetId="3">#REF!</definedName>
    <definedName name="ety" localSheetId="7">#REF!</definedName>
    <definedName name="ety" localSheetId="8">#REF!</definedName>
    <definedName name="ety" localSheetId="2">#REF!</definedName>
    <definedName name="ety">#REF!</definedName>
    <definedName name="EVELIND" localSheetId="0">[27]TABLA_VENTAS!$A$3:$D$400</definedName>
    <definedName name="EVELIND" localSheetId="7">[28]TABLA_VENTAS!$A$3:$D$400</definedName>
    <definedName name="EVELIND" localSheetId="8">[29]TABLA_VENTAS!$A$3:$D$400</definedName>
    <definedName name="EVELIND">[30]TABLA_VENTAS!$A$3:$D$400</definedName>
    <definedName name="EWDSDS">'[2]TABLA-VENTAS'!$A$3:$D$400</definedName>
    <definedName name="EWQE">'[3]TABLA-VENTAS'!$A$3:$D$400</definedName>
    <definedName name="ewrewrewqr">'[3]TABLA-VENTAS'!$A$3:$D$400</definedName>
    <definedName name="ewrwqe" localSheetId="4">#REF!</definedName>
    <definedName name="ewrwqe" localSheetId="0">#REF!</definedName>
    <definedName name="ewrwqe" localSheetId="3">#REF!</definedName>
    <definedName name="ewrwqe" localSheetId="7">#REF!</definedName>
    <definedName name="ewrwqe" localSheetId="8">#REF!</definedName>
    <definedName name="ewrwqe" localSheetId="2">#REF!</definedName>
    <definedName name="ewrwqe">#REF!</definedName>
    <definedName name="EXCELENTE">[1]TABLA_VENTAS!$A$3:$D$400</definedName>
    <definedName name="ExcesoPorcentajeCompletado" localSheetId="4">(#REF!=MEDIAN(#REF!,#REF!,#REF!+#REF!)*(#REF!&gt;0))*((#REF!&lt;(INT(#REF!+#REF!*#REF!)))+(#REF!=#REF!))*(#REF!&gt;0)</definedName>
    <definedName name="ExcesoPorcentajeCompletado" localSheetId="0">('Cronog Junio 2026'!A$5=MEDIAN('Cronog Junio 2026'!A$5,'Cronog Junio 2026'!$P1,'Cronog Junio 2026'!$P1+'Cronog Junio 2026'!#REF!)*('Cronog Junio 2026'!$P1&gt;0))*(('Cronog Junio 2026'!A$5&lt;(INT('Cronog Junio 2026'!$P1+'Cronog Junio 2026'!#REF!*'Cronog Junio 2026'!$AV1)))+('Cronog Junio 2026'!A$5='Cronog Junio 2026'!$P1))*('Cronog Junio 2026'!$AV1&gt;0)</definedName>
    <definedName name="ExcesoPorcentajeCompletado" localSheetId="3">(#REF!=MEDIAN(#REF!,#REF!,#REF!+#REF!)*(#REF!&gt;0))*((#REF!&lt;(INT(#REF!+#REF!*#REF!)))+(#REF!=#REF!))*(#REF!&gt;0)</definedName>
    <definedName name="ExcesoPorcentajeCompletado" localSheetId="7">(#REF!=MEDIAN(#REF!,#REF!,#REF!+#REF!)*(#REF!&gt;0))*((#REF!&lt;(INT(#REF!+#REF!*#REF!)))+(#REF!=#REF!))*(#REF!&gt;0)</definedName>
    <definedName name="ExcesoPorcentajeCompletado" localSheetId="8">(#REF!=MEDIAN(#REF!,#REF!,#REF!+#REF!)*(#REF!&gt;0))*((#REF!&lt;(INT(#REF!+#REF!*#REF!)))+(#REF!=#REF!))*(#REF!&gt;0)</definedName>
    <definedName name="ExcesoPorcentajeCompletado" localSheetId="2">(#REF!=MEDIAN(#REF!,#REF!,#REF!+#REF!)*(#REF!&gt;0))*((#REF!&lt;(INT(#REF!+#REF!*#REF!)))+(#REF!=#REF!))*(#REF!&gt;0)</definedName>
    <definedName name="ExcesoPorcentajeCompletado" localSheetId="9">(#REF!=MEDIAN(#REF!,#REF!,#REF!+#REF!)*(#REF!&gt;0))*((#REF!&lt;(INT(#REF!+#REF!*#REF!)))+(#REF!=#REF!))*(#REF!&gt;0)</definedName>
    <definedName name="ExcesoPorcentajeCompletado">(#REF!=MEDIAN(#REF!,#REF!,#REF!+#REF!)*(#REF!&gt;0))*((#REF!&lt;(INT(#REF!+#REF!*#REF!)))+(#REF!=#REF!))*(#REF!&gt;0)</definedName>
    <definedName name="ExcesoReal" localSheetId="4">'Consolidado Entregas'!PeríodoReal*(#REF!&gt;0)</definedName>
    <definedName name="ExcesoReal" localSheetId="0">'Cronog Junio 2026'!PeríodoReal*('Cronog Junio 2026'!$P1&gt;0)</definedName>
    <definedName name="ExcesoReal" localSheetId="3">Datos!PeríodoReal*(#REF!&gt;0)</definedName>
    <definedName name="ExcesoReal" localSheetId="7">'Directorio comf+ zon'!PeríodoReal*(#REF!&gt;0)</definedName>
    <definedName name="ExcesoReal" localSheetId="8">'Directorio Infraestructura'!PeríodoReal*(#REF!&gt;0)</definedName>
    <definedName name="ExcesoReal" localSheetId="2">Entregas!PeríodoReal*(#REF!&gt;0)</definedName>
    <definedName name="ExcesoReal" localSheetId="9">PeríodoReal*(#REF!&gt;0)</definedName>
    <definedName name="ExcesoReal">PeríodoReal*(#REF!&gt;0)</definedName>
    <definedName name="EXITO">[1]TABLA_VENTAS!$A$3:$D$400</definedName>
    <definedName name="FADSFWER">'[3]TABLA-VENTAS'!$A$3:$D$400</definedName>
    <definedName name="FAEFDFADS">'[2]TABLA-VENTAS'!$A$3:$D$400</definedName>
    <definedName name="faer">[1]TABLA_VENTAS!$A$3:$D$400</definedName>
    <definedName name="falencia" localSheetId="0">[4]TABLA_VENTAS!$A$3:$D$400</definedName>
    <definedName name="falencia" localSheetId="7">[5]TABLA_VENTAS!$A$3:$D$400</definedName>
    <definedName name="falencia" localSheetId="8">[6]TABLA_VENTAS!$A$3:$D$400</definedName>
    <definedName name="falencia">[7]TABLA_VENTAS!$A$3:$D$400</definedName>
    <definedName name="FALXO">[14]TABLA_VENTAS!$A$3:$D$400</definedName>
    <definedName name="FAM">[1]TABLA_VENTAS!$A$3:$D$400</definedName>
    <definedName name="FAQUNIV" localSheetId="0">[45]TABLA_VENTAS!$A$3:$D$400</definedName>
    <definedName name="FAQUNIV" localSheetId="7">[46]TABLA_VENTAS!$A$3:$D$400</definedName>
    <definedName name="FAQUNIV" localSheetId="8">[47]TABLA_VENTAS!$A$3:$D$400</definedName>
    <definedName name="FAQUNIV">[48]TABLA_VENTAS!$A$3:$D$400</definedName>
    <definedName name="FARCOLOM">[1]TABLA_VENTAS!$A$3:$D$400</definedName>
    <definedName name="FASDF">'[3]TABLA-VENTAS'!$A$3:$D$400</definedName>
    <definedName name="FASDR">[12]TABLA_VENTAS!$A$3:$D$400</definedName>
    <definedName name="fase">'[3]TABLA-VENTAS'!$A$3:$D$400</definedName>
    <definedName name="FASZX">[1]TABLA_VENTAS!$A$3:$D$400</definedName>
    <definedName name="FAZ">[1]TABLA_VENTAS!$A$3:$D$400</definedName>
    <definedName name="FBN" localSheetId="4">#REF!</definedName>
    <definedName name="FBN" localSheetId="0">#REF!</definedName>
    <definedName name="FBN" localSheetId="3">#REF!</definedName>
    <definedName name="FBN" localSheetId="7">#REF!</definedName>
    <definedName name="FBN" localSheetId="8">#REF!</definedName>
    <definedName name="FBN" localSheetId="2">#REF!</definedName>
    <definedName name="FBN">#REF!</definedName>
    <definedName name="FD">'[3]TABLA-VENTAS'!$A$3:$D$400</definedName>
    <definedName name="FDF">'[3]TABLA-VENTAS'!$A$3:$D$400</definedName>
    <definedName name="FDFE">[1]TABLA_VENTAS!$A$3:$D$400</definedName>
    <definedName name="fdfewr">[1]TABLA_VENTAS!$A$3:$D$400</definedName>
    <definedName name="FDFSD">'[3]TABLA-VENTAS'!$A$3:$D$400</definedName>
    <definedName name="FDG" localSheetId="4">#REF!</definedName>
    <definedName name="FDG" localSheetId="0">#REF!</definedName>
    <definedName name="FDG" localSheetId="3">#REF!</definedName>
    <definedName name="FDG" localSheetId="7">#REF!</definedName>
    <definedName name="FDG" localSheetId="8">#REF!</definedName>
    <definedName name="FDG" localSheetId="2">#REF!</definedName>
    <definedName name="FDG">#REF!</definedName>
    <definedName name="FDGDSFG">'[3]TABLA-VENTAS'!$A$3:$D$400</definedName>
    <definedName name="FDS" localSheetId="4">#REF!</definedName>
    <definedName name="FDS" localSheetId="0">#REF!</definedName>
    <definedName name="FDS" localSheetId="3">#REF!</definedName>
    <definedName name="FDS" localSheetId="7">#REF!</definedName>
    <definedName name="FDS" localSheetId="8">#REF!</definedName>
    <definedName name="FDS" localSheetId="2">#REF!</definedName>
    <definedName name="FDS">#REF!</definedName>
    <definedName name="FDSEA">'[2]TABLA-VENTAS'!$A$3:$D$400</definedName>
    <definedName name="FDSERFS">'[2]TABLA-VENTAS'!$A$3:$D$400</definedName>
    <definedName name="FDSERS">'[2]TABLA-VENTAS'!$A$3:$D$400</definedName>
    <definedName name="fdsfds">'[3]TABLA-VENTAS'!$A$3:$D$400</definedName>
    <definedName name="FDSFES">'[2]TABLA-VENTAS'!$A$3:$D$400</definedName>
    <definedName name="FDSSXCS">'[3]TABLA-VENTAS'!$A$3:$D$400</definedName>
    <definedName name="FEA">[1]TABLA_VENTAS!$A$3:$D$400</definedName>
    <definedName name="FECHOT">[1]TABLA_VENTAS!$A$3:$D$400</definedName>
    <definedName name="FEDADSA">'[2]TABLA-VENTAS'!$A$3:$D$400</definedName>
    <definedName name="FEDS" localSheetId="4">#REF!</definedName>
    <definedName name="FEDS" localSheetId="0">#REF!</definedName>
    <definedName name="FEDS" localSheetId="3">#REF!</definedName>
    <definedName name="FEDS" localSheetId="7">#REF!</definedName>
    <definedName name="FEDS" localSheetId="8">#REF!</definedName>
    <definedName name="FEDS" localSheetId="2">#REF!</definedName>
    <definedName name="FEDS">#REF!</definedName>
    <definedName name="FEJAJU">[1]TABLA_VENTAS!$A$3:$D$400</definedName>
    <definedName name="felicidadessss" localSheetId="0">[4]TABLA_VENTAS!$A$3:$D$400</definedName>
    <definedName name="felicidadessss" localSheetId="7">[5]TABLA_VENTAS!$A$3:$D$400</definedName>
    <definedName name="felicidadessss" localSheetId="8">[6]TABLA_VENTAS!$A$3:$D$400</definedName>
    <definedName name="felicidadessss">[7]TABLA_VENTAS!$A$3:$D$400</definedName>
    <definedName name="felixato" localSheetId="0">[27]TABLA_VENTAS!$A$3:$D$400</definedName>
    <definedName name="felixato" localSheetId="7">[28]TABLA_VENTAS!$A$3:$D$400</definedName>
    <definedName name="felixato" localSheetId="8">[29]TABLA_VENTAS!$A$3:$D$400</definedName>
    <definedName name="felixato">[30]TABLA_VENTAS!$A$3:$D$400</definedName>
    <definedName name="felixsa" localSheetId="0">[4]TABLA_VENTAS!$A$3:$D$400</definedName>
    <definedName name="felixsa" localSheetId="7">[5]TABLA_VENTAS!$A$3:$D$400</definedName>
    <definedName name="felixsa" localSheetId="8">[6]TABLA_VENTAS!$A$3:$D$400</definedName>
    <definedName name="felixsa">[7]TABLA_VENTAS!$A$3:$D$400</definedName>
    <definedName name="FEQNAD" localSheetId="0">[27]TABLA_VENTAS!$A$3:$D$400</definedName>
    <definedName name="FEQNAD" localSheetId="7">[28]TABLA_VENTAS!$A$3:$D$400</definedName>
    <definedName name="FEQNAD" localSheetId="8">[29]TABLA_VENTAS!$A$3:$D$400</definedName>
    <definedName name="FEQNAD">[30]TABLA_VENTAS!$A$3:$D$400</definedName>
    <definedName name="FER">[1]TABLA_VENTAS!$A$3:$D$400</definedName>
    <definedName name="fercho">[1]TABLA_VENTAS!$A$3:$D$400</definedName>
    <definedName name="FERDSA">[1]TABLA_VENTAS!$A$3:$D$400</definedName>
    <definedName name="FERG">[1]TABLA_VENTAS!$A$3:$D$400</definedName>
    <definedName name="FERGA">[1]TABLA_VENTAS!$A$3:$D$400</definedName>
    <definedName name="FERGUSOZMS" localSheetId="0">[23]TABLA_VENTAS!$A$3:$D$400</definedName>
    <definedName name="FERGUSOZMS" localSheetId="7">[24]TABLA_VENTAS!$A$3:$D$400</definedName>
    <definedName name="FERGUSOZMS" localSheetId="8">[25]TABLA_VENTAS!$A$3:$D$400</definedName>
    <definedName name="FERGUSOZMS">[26]TABLA_VENTAS!$A$3:$D$400</definedName>
    <definedName name="FERGUZON">[1]TABLA_VENTAS!$A$3:$D$400</definedName>
    <definedName name="ferguzonilos" localSheetId="0">[27]TABLA_VENTAS!$A$3:$D$400</definedName>
    <definedName name="ferguzonilos" localSheetId="7">[28]TABLA_VENTAS!$A$3:$D$400</definedName>
    <definedName name="ferguzonilos" localSheetId="8">[29]TABLA_VENTAS!$A$3:$D$400</definedName>
    <definedName name="ferguzonilos">[30]TABLA_VENTAS!$A$3:$D$400</definedName>
    <definedName name="FEROZ">[1]TABLA_VENTAS!$A$3:$D$400</definedName>
    <definedName name="FES" localSheetId="4">#REF!</definedName>
    <definedName name="FES" localSheetId="0">#REF!</definedName>
    <definedName name="FES" localSheetId="3">#REF!</definedName>
    <definedName name="FES" localSheetId="7">#REF!</definedName>
    <definedName name="FES" localSheetId="8">#REF!</definedName>
    <definedName name="FES" localSheetId="2">#REF!</definedName>
    <definedName name="FES">#REF!</definedName>
    <definedName name="FESAX">[1]TABLA_VENTAS!$A$3:$D$400</definedName>
    <definedName name="fesdf">'[2]TABLA-VENTAS'!$A$3:$D$400</definedName>
    <definedName name="FESDFD">'[2]TABLA-VENTAS'!$A$3:$D$400</definedName>
    <definedName name="FESF">[1]TABLA_VENTAS!$A$3:$D$400</definedName>
    <definedName name="FESFF">[1]TABLA_VENTAS!$A$3:$D$400</definedName>
    <definedName name="FESFS">'[2]TABLA-VENTAS'!$A$3:$D$400</definedName>
    <definedName name="festivos" localSheetId="7">[49]Calendario!$C$4:$C$7</definedName>
    <definedName name="festivos" localSheetId="8">[50]Calendario!$C$4:$C$7</definedName>
    <definedName name="festivos">[51]Calendario!$C$4:$C$7</definedName>
    <definedName name="fewers">'[2]TABLA-VENTAS'!$A$3:$D$400</definedName>
    <definedName name="FFGH" localSheetId="4">#REF!</definedName>
    <definedName name="FFGH" localSheetId="0">#REF!</definedName>
    <definedName name="FFGH" localSheetId="3">#REF!</definedName>
    <definedName name="FFGH" localSheetId="7">#REF!</definedName>
    <definedName name="FFGH" localSheetId="8">#REF!</definedName>
    <definedName name="FFGH" localSheetId="2">#REF!</definedName>
    <definedName name="FFGH">#REF!</definedName>
    <definedName name="FG">[1]TABLA_VENTAS!$A$3:$D$400</definedName>
    <definedName name="fgbvn" localSheetId="4">#REF!</definedName>
    <definedName name="fgbvn" localSheetId="0">#REF!</definedName>
    <definedName name="fgbvn" localSheetId="3">#REF!</definedName>
    <definedName name="fgbvn" localSheetId="7">#REF!</definedName>
    <definedName name="fgbvn" localSheetId="8">#REF!</definedName>
    <definedName name="fgbvn" localSheetId="2">#REF!</definedName>
    <definedName name="fgbvn">#REF!</definedName>
    <definedName name="FGDC">[1]TABLA_VENTAS!$A$3:$D$400</definedName>
    <definedName name="fgepm" localSheetId="0">[27]TABLA_VENTAS!$A$3:$D$400</definedName>
    <definedName name="fgepm" localSheetId="7">[28]TABLA_VENTAS!$A$3:$D$400</definedName>
    <definedName name="fgepm" localSheetId="8">[29]TABLA_VENTAS!$A$3:$D$400</definedName>
    <definedName name="fgepm">[30]TABLA_VENTAS!$A$3:$D$400</definedName>
    <definedName name="fgfdg">'[3]TABLA-VENTAS'!$A$3:$D$400</definedName>
    <definedName name="FGFGF">'[3]TABLA-VENTAS'!$A$3:$D$400</definedName>
    <definedName name="FGGF">[1]TABLA_VENTAS!$A$3:$D$400</definedName>
    <definedName name="fgh">[12]TABLA_VENTAS!$A$3:$D$400</definedName>
    <definedName name="FGJJ">[12]TABLA_VENTAS!$A$3:$D$400</definedName>
    <definedName name="FGSDFGDF">'[3]TABLA-VENTAS'!$A$3:$D$400</definedName>
    <definedName name="FGT">[1]TABLA_VENTAS!$A$3:$D$400</definedName>
    <definedName name="FGVF">'[3]TABLA-VENTAS'!$A$3:$D$400</definedName>
    <definedName name="fgvq" localSheetId="0">[4]TABLA_VENTAS!$A$3:$D$400</definedName>
    <definedName name="fgvq" localSheetId="7">[5]TABLA_VENTAS!$A$3:$D$400</definedName>
    <definedName name="fgvq" localSheetId="8">[6]TABLA_VENTAS!$A$3:$D$400</definedName>
    <definedName name="fgvq">[7]TABLA_VENTAS!$A$3:$D$400</definedName>
    <definedName name="FHZA">[1]TABLA_VENTAS!$A$3:$D$400</definedName>
    <definedName name="FLACA" localSheetId="0">[27]TABLA_VENTAS!$A$3:$D$400</definedName>
    <definedName name="FLACA" localSheetId="7">[28]TABLA_VENTAS!$A$3:$D$400</definedName>
    <definedName name="FLACA" localSheetId="8">[29]TABLA_VENTAS!$A$3:$D$400</definedName>
    <definedName name="FLACA">[30]TABLA_VENTAS!$A$3:$D$400</definedName>
    <definedName name="fño">[1]TABLA_VENTAS!$A$3:$D$400</definedName>
    <definedName name="FOM">[1]TABLA_VENTAS!$A$3:$D$400</definedName>
    <definedName name="fomi">[1]TABLA_VENTAS!$A$3:$D$400</definedName>
    <definedName name="FOP" localSheetId="4">#REF!</definedName>
    <definedName name="FOP" localSheetId="0">#REF!</definedName>
    <definedName name="FOP" localSheetId="3">#REF!</definedName>
    <definedName name="FOP" localSheetId="7">#REF!</definedName>
    <definedName name="FOP" localSheetId="8">#REF!</definedName>
    <definedName name="FOP" localSheetId="2">#REF!</definedName>
    <definedName name="FOP">#REF!</definedName>
    <definedName name="fqm">[1]TABLA_VENTAS!$A$3:$D$400</definedName>
    <definedName name="frdgfd">'[2]TABLA-VENTAS'!$A$3:$D$400</definedName>
    <definedName name="FRECHAS" localSheetId="0">[45]TABLA_VENTAS!$A$3:$D$400</definedName>
    <definedName name="FRECHAS" localSheetId="7">[46]TABLA_VENTAS!$A$3:$D$400</definedName>
    <definedName name="FRECHAS" localSheetId="8">[47]TABLA_VENTAS!$A$3:$D$400</definedName>
    <definedName name="FRECHAS">[48]TABLA_VENTAS!$A$3:$D$400</definedName>
    <definedName name="FRESCURA" localSheetId="0">[4]TABLA_VENTAS!$A$3:$D$400</definedName>
    <definedName name="FRESCURA" localSheetId="7">[5]TABLA_VENTAS!$A$3:$D$400</definedName>
    <definedName name="FRESCURA" localSheetId="8">[6]TABLA_VENTAS!$A$3:$D$400</definedName>
    <definedName name="FRESCURA">[7]TABLA_VENTAS!$A$3:$D$400</definedName>
    <definedName name="FRIZER">[1]TABLA_VENTAS!$A$3:$D$400</definedName>
    <definedName name="frop" localSheetId="4">#REF!</definedName>
    <definedName name="frop" localSheetId="0">#REF!</definedName>
    <definedName name="frop" localSheetId="3">#REF!</definedName>
    <definedName name="frop" localSheetId="7">#REF!</definedName>
    <definedName name="frop" localSheetId="8">#REF!</definedName>
    <definedName name="frop" localSheetId="2">#REF!</definedName>
    <definedName name="frop">#REF!</definedName>
    <definedName name="FRTY" localSheetId="4">#REF!</definedName>
    <definedName name="FRTY" localSheetId="0">#REF!</definedName>
    <definedName name="FRTY" localSheetId="3">#REF!</definedName>
    <definedName name="FRTY" localSheetId="7">#REF!</definedName>
    <definedName name="FRTY" localSheetId="8">#REF!</definedName>
    <definedName name="FRTY" localSheetId="2">#REF!</definedName>
    <definedName name="FRTY">#REF!</definedName>
    <definedName name="FSDF">'[3]TABLA-VENTAS'!$A$3:$D$400</definedName>
    <definedName name="FSDFAS">'[3]TABLA-VENTAS'!$A$3:$D$400</definedName>
    <definedName name="FSE">'[2]TABLA-VENTAS'!$A$3:$D$400</definedName>
    <definedName name="FSERF">[1]TABLA_VENTAS!$A$3:$D$400</definedName>
    <definedName name="fsfxhxmf" localSheetId="0">[27]TABLA_VENTAS!$A$3:$D$400</definedName>
    <definedName name="fsfxhxmf" localSheetId="7">[28]TABLA_VENTAS!$A$3:$D$400</definedName>
    <definedName name="fsfxhxmf" localSheetId="8">[29]TABLA_VENTAS!$A$3:$D$400</definedName>
    <definedName name="fsfxhxmf">[30]TABLA_VENTAS!$A$3:$D$400</definedName>
    <definedName name="FT">[1]TABLA_VENTAS!$A$3:$D$400</definedName>
    <definedName name="FTR">[1]TABLA_VENTAS!$A$3:$D$400</definedName>
    <definedName name="ftu" localSheetId="4">#REF!</definedName>
    <definedName name="ftu" localSheetId="0">#REF!</definedName>
    <definedName name="ftu" localSheetId="3">#REF!</definedName>
    <definedName name="ftu" localSheetId="7">#REF!</definedName>
    <definedName name="ftu" localSheetId="8">#REF!</definedName>
    <definedName name="ftu" localSheetId="2">#REF!</definedName>
    <definedName name="ftu">#REF!</definedName>
    <definedName name="FTUUR" localSheetId="4">#REF!</definedName>
    <definedName name="FTUUR" localSheetId="0">#REF!</definedName>
    <definedName name="FTUUR" localSheetId="3">#REF!</definedName>
    <definedName name="FTUUR" localSheetId="7">#REF!</definedName>
    <definedName name="FTUUR" localSheetId="8">#REF!</definedName>
    <definedName name="FTUUR" localSheetId="2">#REF!</definedName>
    <definedName name="FTUUR">#REF!</definedName>
    <definedName name="FVBG">'[2]TABLA-VENTAS'!$A$3:$D$400</definedName>
    <definedName name="FVBGF" localSheetId="4">#REF!</definedName>
    <definedName name="FVBGF" localSheetId="0">#REF!</definedName>
    <definedName name="FVBGF" localSheetId="3">#REF!</definedName>
    <definedName name="FVBGF" localSheetId="7">#REF!</definedName>
    <definedName name="FVBGF" localSheetId="8">#REF!</definedName>
    <definedName name="FVBGF" localSheetId="2">#REF!</definedName>
    <definedName name="FVBGF">#REF!</definedName>
    <definedName name="FVCD" localSheetId="4">#REF!</definedName>
    <definedName name="FVCD" localSheetId="0">#REF!</definedName>
    <definedName name="FVCD" localSheetId="3">#REF!</definedName>
    <definedName name="FVCD" localSheetId="7">#REF!</definedName>
    <definedName name="FVCD" localSheetId="8">#REF!</definedName>
    <definedName name="FVCD" localSheetId="2">#REF!</definedName>
    <definedName name="FVCD">#REF!</definedName>
    <definedName name="FVGHM" localSheetId="4">#REF!</definedName>
    <definedName name="FVGHM" localSheetId="0">#REF!</definedName>
    <definedName name="FVGHM" localSheetId="3">#REF!</definedName>
    <definedName name="FVGHM" localSheetId="7">#REF!</definedName>
    <definedName name="FVGHM" localSheetId="8">#REF!</definedName>
    <definedName name="FVGHM" localSheetId="2">#REF!</definedName>
    <definedName name="FVGHM">#REF!</definedName>
    <definedName name="FWEQW">'[2]TABLA-VENTAS'!$A$3:$D$400</definedName>
    <definedName name="G" localSheetId="4">#REF!</definedName>
    <definedName name="G" localSheetId="0">#REF!</definedName>
    <definedName name="G" localSheetId="3">#REF!</definedName>
    <definedName name="G" localSheetId="7">#REF!</definedName>
    <definedName name="G" localSheetId="8">#REF!</definedName>
    <definedName name="G" localSheetId="2">#REF!</definedName>
    <definedName name="G">#REF!</definedName>
    <definedName name="GATO">[1]TABLA_VENTAS!$A$3:$D$400</definedName>
    <definedName name="GAXELA">[1]TABLA_VENTAS!$A$3:$D$400</definedName>
    <definedName name="GBN" localSheetId="4">#REF!</definedName>
    <definedName name="GBN" localSheetId="0">#REF!</definedName>
    <definedName name="GBN" localSheetId="3">#REF!</definedName>
    <definedName name="GBN" localSheetId="7">#REF!</definedName>
    <definedName name="GBN" localSheetId="8">#REF!</definedName>
    <definedName name="GBN" localSheetId="2">#REF!</definedName>
    <definedName name="GBN">#REF!</definedName>
    <definedName name="GBNJ" localSheetId="4">#REF!</definedName>
    <definedName name="GBNJ" localSheetId="0">#REF!</definedName>
    <definedName name="GBNJ" localSheetId="3">#REF!</definedName>
    <definedName name="GBNJ" localSheetId="7">#REF!</definedName>
    <definedName name="GBNJ" localSheetId="8">#REF!</definedName>
    <definedName name="GBNJ" localSheetId="2">#REF!</definedName>
    <definedName name="GBNJ">#REF!</definedName>
    <definedName name="GBVFDC" localSheetId="4">#REF!</definedName>
    <definedName name="GBVFDC" localSheetId="0">#REF!</definedName>
    <definedName name="GBVFDC" localSheetId="3">#REF!</definedName>
    <definedName name="GBVFDC" localSheetId="7">#REF!</definedName>
    <definedName name="GBVFDC" localSheetId="8">#REF!</definedName>
    <definedName name="GBVFDC" localSheetId="2">#REF!</definedName>
    <definedName name="GBVFDC">#REF!</definedName>
    <definedName name="GD">'[3]TABLA-VENTAS'!$A$3:$D$400</definedName>
    <definedName name="GDF">[1]TABLA_VENTAS!$A$3:$D$400</definedName>
    <definedName name="GDFGF">'[3]TABLA-VENTAS'!$A$3:$D$400</definedName>
    <definedName name="GDFGFDGSDF">'[3]TABLA-VENTAS'!$A$3:$D$400</definedName>
    <definedName name="gdmzqp" localSheetId="0">[27]TABLA_VENTAS!$A$3:$D$400</definedName>
    <definedName name="gdmzqp" localSheetId="7">[28]TABLA_VENTAS!$A$3:$D$400</definedName>
    <definedName name="gdmzqp" localSheetId="8">[29]TABLA_VENTAS!$A$3:$D$400</definedName>
    <definedName name="gdmzqp">[30]TABLA_VENTAS!$A$3:$D$400</definedName>
    <definedName name="gerardo" localSheetId="0">[23]TABLA_VENTAS!$A$3:$D$400</definedName>
    <definedName name="gerardo" localSheetId="7">[24]TABLA_VENTAS!$A$3:$D$400</definedName>
    <definedName name="gerardo" localSheetId="8">[25]TABLA_VENTAS!$A$3:$D$400</definedName>
    <definedName name="gerardo">[26]TABLA_VENTAS!$A$3:$D$400</definedName>
    <definedName name="gew">'[3]TABLA-VENTAS'!$A$3:$D$400</definedName>
    <definedName name="GEYSON">[1]TABLA_VENTAS!$A$3:$D$400</definedName>
    <definedName name="gfdgdfg">'[3]TABLA-VENTAS'!$A$3:$D$400</definedName>
    <definedName name="GFE">[1]TABLA_VENTAS!$A$3:$D$400</definedName>
    <definedName name="GFFTGR">[1]TABLA_VENTAS!$A$3:$D$400</definedName>
    <definedName name="GH">'[3]TABLA-VENTAS'!$A$3:$D$400</definedName>
    <definedName name="GHFG">'[3]TABLA-VENTAS'!$A$3:$D$400</definedName>
    <definedName name="GHGF">'[3]TABLA-VENTAS'!$A$3:$D$400</definedName>
    <definedName name="GHHFG">'[3]TABLA-VENTAS'!$A$3:$D$400</definedName>
    <definedName name="GHJKL" localSheetId="4">#REF!</definedName>
    <definedName name="GHJKL" localSheetId="0">#REF!</definedName>
    <definedName name="GHJKL" localSheetId="3">#REF!</definedName>
    <definedName name="GHJKL" localSheetId="7">#REF!</definedName>
    <definedName name="GHJKL" localSheetId="8">#REF!</definedName>
    <definedName name="GHJKL" localSheetId="2">#REF!</definedName>
    <definedName name="GHJKL">#REF!</definedName>
    <definedName name="GHW" localSheetId="4">#REF!</definedName>
    <definedName name="GHW" localSheetId="0">#REF!</definedName>
    <definedName name="GHW" localSheetId="3">#REF!</definedName>
    <definedName name="GHW" localSheetId="7">#REF!</definedName>
    <definedName name="GHW" localSheetId="8">#REF!</definedName>
    <definedName name="GHW" localSheetId="2">#REF!</definedName>
    <definedName name="GHW">#REF!</definedName>
    <definedName name="GHYU">'[43]TABLA-VENTAS'!$A$3:$D$400</definedName>
    <definedName name="GMA">[1]TABLA_VENTAS!$A$3:$D$400</definedName>
    <definedName name="GNBH" localSheetId="4">#REF!</definedName>
    <definedName name="GNBH" localSheetId="0">#REF!</definedName>
    <definedName name="GNBH" localSheetId="3">#REF!</definedName>
    <definedName name="GNBH" localSheetId="7">#REF!</definedName>
    <definedName name="GNBH" localSheetId="8">#REF!</definedName>
    <definedName name="GNBH" localSheetId="2">#REF!</definedName>
    <definedName name="GNBH">#REF!</definedName>
    <definedName name="GNJKL" localSheetId="4">#REF!</definedName>
    <definedName name="GNJKL" localSheetId="0">#REF!</definedName>
    <definedName name="GNJKL" localSheetId="3">#REF!</definedName>
    <definedName name="GNJKL" localSheetId="7">#REF!</definedName>
    <definedName name="GNJKL" localSheetId="8">#REF!</definedName>
    <definedName name="GNJKL" localSheetId="2">#REF!</definedName>
    <definedName name="GNJKL">#REF!</definedName>
    <definedName name="GPARO" localSheetId="4">OFFSET(#REF!,#REF!,0,#REF!,3)</definedName>
    <definedName name="GPARO" localSheetId="0">OFFSET(#REF!,#REF!,0,#REF!,3)</definedName>
    <definedName name="GPARO" localSheetId="3">OFFSET(#REF!,#REF!,0,#REF!,3)</definedName>
    <definedName name="GPARO" localSheetId="7">OFFSET(#REF!,#REF!,0,#REF!,3)</definedName>
    <definedName name="GPARO" localSheetId="8">OFFSET(#REF!,#REF!,0,#REF!,3)</definedName>
    <definedName name="GPARO" localSheetId="2">OFFSET(#REF!,#REF!,0,#REF!,3)</definedName>
    <definedName name="GPARO">OFFSET(#REF!,#REF!,0,#REF!,3)</definedName>
    <definedName name="GPARO_AREA" localSheetId="4">OFFSET(#REF!,#REF!,0,#REF!,1)</definedName>
    <definedName name="GPARO_AREA" localSheetId="0">OFFSET(#REF!,#REF!,0,#REF!,1)</definedName>
    <definedName name="GPARO_AREA" localSheetId="3">OFFSET(#REF!,#REF!,0,#REF!,1)</definedName>
    <definedName name="GPARO_AREA" localSheetId="7">OFFSET(#REF!,#REF!,0,#REF!,1)</definedName>
    <definedName name="GPARO_AREA" localSheetId="8">OFFSET(#REF!,#REF!,0,#REF!,1)</definedName>
    <definedName name="GPARO_AREA" localSheetId="2">OFFSET(#REF!,#REF!,0,#REF!,1)</definedName>
    <definedName name="GPARO_AREA">OFFSET(#REF!,#REF!,0,#REF!,1)</definedName>
    <definedName name="GPARO_DIA" localSheetId="4">OFFSET(#REF!,#REF!,1,#REF!,1)</definedName>
    <definedName name="GPARO_DIA" localSheetId="0">OFFSET(#REF!,#REF!,1,#REF!,1)</definedName>
    <definedName name="GPARO_DIA" localSheetId="3">OFFSET(#REF!,#REF!,1,#REF!,1)</definedName>
    <definedName name="GPARO_DIA" localSheetId="7">OFFSET(#REF!,#REF!,1,#REF!,1)</definedName>
    <definedName name="GPARO_DIA" localSheetId="8">OFFSET(#REF!,#REF!,1,#REF!,1)</definedName>
    <definedName name="GPARO_DIA" localSheetId="2">OFFSET(#REF!,#REF!,1,#REF!,1)</definedName>
    <definedName name="GPARO_DIA">OFFSET(#REF!,#REF!,1,#REF!,1)</definedName>
    <definedName name="GPARO_SEM" localSheetId="4">OFFSET(#REF!,#REF!,2,#REF!,1)</definedName>
    <definedName name="GPARO_SEM" localSheetId="0">OFFSET(#REF!,#REF!,2,#REF!,1)</definedName>
    <definedName name="GPARO_SEM" localSheetId="3">OFFSET(#REF!,#REF!,2,#REF!,1)</definedName>
    <definedName name="GPARO_SEM" localSheetId="7">OFFSET(#REF!,#REF!,2,#REF!,1)</definedName>
    <definedName name="GPARO_SEM" localSheetId="8">OFFSET(#REF!,#REF!,2,#REF!,1)</definedName>
    <definedName name="GPARO_SEM" localSheetId="2">OFFSET(#REF!,#REF!,2,#REF!,1)</definedName>
    <definedName name="GPARO_SEM">OFFSET(#REF!,#REF!,2,#REF!,1)</definedName>
    <definedName name="GPARO2" localSheetId="4">OFFSET(#REF!,0,0,#REF!+1,#REF!)</definedName>
    <definedName name="GPARO2" localSheetId="0">OFFSET(#REF!,0,0,#REF!+1,#REF!)</definedName>
    <definedName name="GPARO2" localSheetId="3">OFFSET(#REF!,0,0,#REF!+1,#REF!)</definedName>
    <definedName name="GPARO2" localSheetId="7">OFFSET(#REF!,0,0,#REF!+1,#REF!)</definedName>
    <definedName name="GPARO2" localSheetId="8">OFFSET(#REF!,0,0,#REF!+1,#REF!)</definedName>
    <definedName name="GPARO2" localSheetId="2">OFFSET(#REF!,0,0,#REF!+1,#REF!)</definedName>
    <definedName name="GPARO2">OFFSET(#REF!,0,0,#REF!+1,#REF!)</definedName>
    <definedName name="GPARO2_Dias" localSheetId="4">OFFSET(#REF!,0,0,1,#REF!-1)</definedName>
    <definedName name="GPARO2_Dias" localSheetId="0">OFFSET(#REF!,0,0,1,#REF!-1)</definedName>
    <definedName name="GPARO2_Dias" localSheetId="3">OFFSET(#REF!,0,0,1,#REF!-1)</definedName>
    <definedName name="GPARO2_Dias" localSheetId="7">OFFSET(#REF!,0,0,1,#REF!-1)</definedName>
    <definedName name="GPARO2_Dias" localSheetId="8">OFFSET(#REF!,0,0,1,#REF!-1)</definedName>
    <definedName name="GPARO2_Dias" localSheetId="2">OFFSET(#REF!,0,0,1,#REF!-1)</definedName>
    <definedName name="GPARO2_Dias">OFFSET(#REF!,0,0,1,#REF!-1)</definedName>
    <definedName name="GRDGSD">'[2]TABLA-VENTAS'!$A$3:$D$400</definedName>
    <definedName name="GREY">[1]TABLA_VENTAS!$A$3:$D$400</definedName>
    <definedName name="GRHD">[1]TABLA_VENTAS!$A$3:$D$400</definedName>
    <definedName name="GTDRE">[1]TABLA_VENTAS!$A$3:$D$400</definedName>
    <definedName name="gtnb" localSheetId="4">#REF!</definedName>
    <definedName name="gtnb" localSheetId="0">#REF!</definedName>
    <definedName name="gtnb" localSheetId="3">#REF!</definedName>
    <definedName name="gtnb" localSheetId="7">#REF!</definedName>
    <definedName name="gtnb" localSheetId="8">#REF!</definedName>
    <definedName name="gtnb" localSheetId="2">#REF!</definedName>
    <definedName name="gtnb">#REF!</definedName>
    <definedName name="GURERO" localSheetId="0">[23]TABLA_VENTAS!$A$3:$D$400</definedName>
    <definedName name="GURERO" localSheetId="7">[24]TABLA_VENTAS!$A$3:$D$400</definedName>
    <definedName name="GURERO" localSheetId="8">[25]TABLA_VENTAS!$A$3:$D$400</definedName>
    <definedName name="GURERO">[26]TABLA_VENTAS!$A$3:$D$400</definedName>
    <definedName name="GYR">[1]TABLA_VENTAS!$A$3:$D$400</definedName>
    <definedName name="GYTYTRY">'[3]TABLA-VENTAS'!$A$3:$D$400</definedName>
    <definedName name="gyuil" localSheetId="4">#REF!</definedName>
    <definedName name="gyuil" localSheetId="0">#REF!</definedName>
    <definedName name="gyuil" localSheetId="3">#REF!</definedName>
    <definedName name="gyuil" localSheetId="7">#REF!</definedName>
    <definedName name="gyuil" localSheetId="8">#REF!</definedName>
    <definedName name="gyuil" localSheetId="2">#REF!</definedName>
    <definedName name="gyuil">#REF!</definedName>
    <definedName name="h">'[3]TABLA-VENTAS'!$A$3:$D$400</definedName>
    <definedName name="hañm">[1]TABLA_VENTAS!$A$3:$D$400</definedName>
    <definedName name="HCSM">[1]TABLA_VENTAS!$A$3:$D$400</definedName>
    <definedName name="HERNZSA">[1]TABLA_VENTAS!$A$3:$D$400</definedName>
    <definedName name="HF">'[3]TABLA-VENTAS'!$A$3:$D$400</definedName>
    <definedName name="HFG">'[3]TABLA-VENTAS'!$A$3:$D$400</definedName>
    <definedName name="HFGH">'[3]TABLA-VENTAS'!$A$3:$D$400</definedName>
    <definedName name="HGBFV" localSheetId="4">#REF!</definedName>
    <definedName name="HGBFV" localSheetId="0">#REF!</definedName>
    <definedName name="HGBFV" localSheetId="3">#REF!</definedName>
    <definedName name="HGBFV" localSheetId="7">#REF!</definedName>
    <definedName name="HGBFV" localSheetId="8">#REF!</definedName>
    <definedName name="HGBFV" localSheetId="2">#REF!</definedName>
    <definedName name="HGBFV">#REF!</definedName>
    <definedName name="HGDGH">'[3]TABLA-VENTAS'!$A$3:$D$400</definedName>
    <definedName name="HGF" localSheetId="4">#REF!</definedName>
    <definedName name="HGF" localSheetId="0">#REF!</definedName>
    <definedName name="HGF" localSheetId="3">#REF!</definedName>
    <definedName name="HGF" localSheetId="7">#REF!</definedName>
    <definedName name="HGF" localSheetId="8">#REF!</definedName>
    <definedName name="HGF" localSheetId="2">#REF!</definedName>
    <definedName name="HGF">#REF!</definedName>
    <definedName name="HGFHF">'[3]TABLA-VENTAS'!$A$3:$D$400</definedName>
    <definedName name="HGTYU" localSheetId="4">#REF!</definedName>
    <definedName name="HGTYU" localSheetId="0">#REF!</definedName>
    <definedName name="HGTYU" localSheetId="3">#REF!</definedName>
    <definedName name="HGTYU" localSheetId="7">#REF!</definedName>
    <definedName name="HGTYU" localSheetId="8">#REF!</definedName>
    <definedName name="HGTYU" localSheetId="2">#REF!</definedName>
    <definedName name="HGTYU">#REF!</definedName>
    <definedName name="HGUG">[1]TABLA_VENTAS!$A$3:$D$400</definedName>
    <definedName name="HIT">[1]TABLA_VENTAS!$A$3:$D$400</definedName>
    <definedName name="HJAS">[1]TABLA_VENTAS!$A$3:$D$400</definedName>
    <definedName name="HJIDV">[1]TABLA_VENTAS!$A$3:$D$400</definedName>
    <definedName name="HJK" localSheetId="4">#REF!</definedName>
    <definedName name="HJK" localSheetId="0">#REF!</definedName>
    <definedName name="HJK" localSheetId="3">#REF!</definedName>
    <definedName name="HJK" localSheetId="7">#REF!</definedName>
    <definedName name="HJK" localSheetId="8">#REF!</definedName>
    <definedName name="HJK" localSheetId="2">#REF!</definedName>
    <definedName name="HJK">#REF!</definedName>
    <definedName name="HJKG">[12]TABLA_VENTAS!$A$3:$D$400</definedName>
    <definedName name="hjm" localSheetId="4">#REF!</definedName>
    <definedName name="hjm" localSheetId="0">#REF!</definedName>
    <definedName name="hjm" localSheetId="3">#REF!</definedName>
    <definedName name="hjm" localSheetId="7">#REF!</definedName>
    <definedName name="hjm" localSheetId="8">#REF!</definedName>
    <definedName name="hjm" localSheetId="2">#REF!</definedName>
    <definedName name="hjm">#REF!</definedName>
    <definedName name="HJU">[1]TABLA_VENTAS!$A$3:$D$400</definedName>
    <definedName name="HJUYH" localSheetId="4">#REF!</definedName>
    <definedName name="HJUYH" localSheetId="0">#REF!</definedName>
    <definedName name="HJUYH" localSheetId="3">#REF!</definedName>
    <definedName name="HJUYH" localSheetId="7">#REF!</definedName>
    <definedName name="HJUYH" localSheetId="8">#REF!</definedName>
    <definedName name="HJUYH" localSheetId="2">#REF!</definedName>
    <definedName name="HJUYH">#REF!</definedName>
    <definedName name="HJY" localSheetId="4">#REF!</definedName>
    <definedName name="HJY" localSheetId="0">#REF!</definedName>
    <definedName name="HJY" localSheetId="3">#REF!</definedName>
    <definedName name="HJY" localSheetId="7">#REF!</definedName>
    <definedName name="HJY" localSheetId="8">#REF!</definedName>
    <definedName name="HJY" localSheetId="2">#REF!</definedName>
    <definedName name="HJY">#REF!</definedName>
    <definedName name="HJYGT" localSheetId="4">#REF!</definedName>
    <definedName name="HJYGT" localSheetId="0">#REF!</definedName>
    <definedName name="HJYGT" localSheetId="3">#REF!</definedName>
    <definedName name="HJYGT" localSheetId="7">#REF!</definedName>
    <definedName name="HJYGT" localSheetId="8">#REF!</definedName>
    <definedName name="HJYGT" localSheetId="2">#REF!</definedName>
    <definedName name="HJYGT">#REF!</definedName>
    <definedName name="HKL" localSheetId="4">#REF!</definedName>
    <definedName name="HKL" localSheetId="0">#REF!</definedName>
    <definedName name="HKL" localSheetId="3">#REF!</definedName>
    <definedName name="HKL" localSheetId="7">#REF!</definedName>
    <definedName name="HKL" localSheetId="8">#REF!</definedName>
    <definedName name="HKL" localSheetId="2">#REF!</definedName>
    <definedName name="HKL">#REF!</definedName>
    <definedName name="HNBG" localSheetId="4">#REF!</definedName>
    <definedName name="HNBG" localSheetId="0">#REF!</definedName>
    <definedName name="HNBG" localSheetId="3">#REF!</definedName>
    <definedName name="HNBG" localSheetId="7">#REF!</definedName>
    <definedName name="HNBG" localSheetId="8">#REF!</definedName>
    <definedName name="HNBG" localSheetId="2">#REF!</definedName>
    <definedName name="HNBG">#REF!</definedName>
    <definedName name="HORROR" localSheetId="0">[27]TABLA_VENTAS!$A$3:$D$400</definedName>
    <definedName name="HORROR" localSheetId="7">[28]TABLA_VENTAS!$A$3:$D$400</definedName>
    <definedName name="HORROR" localSheetId="8">[29]TABLA_VENTAS!$A$3:$D$400</definedName>
    <definedName name="HORROR">[30]TABLA_VENTAS!$A$3:$D$400</definedName>
    <definedName name="hotyanb" localSheetId="0">[27]TABLA_VENTAS!$A$3:$D$400</definedName>
    <definedName name="hotyanb" localSheetId="7">[28]TABLA_VENTAS!$A$3:$D$400</definedName>
    <definedName name="hotyanb" localSheetId="8">[29]TABLA_VENTAS!$A$3:$D$400</definedName>
    <definedName name="hotyanb">[30]TABLA_VENTAS!$A$3:$D$400</definedName>
    <definedName name="HOYMEVABIEN" localSheetId="0">[27]TABLA_VENTAS!$A$3:$D$400</definedName>
    <definedName name="HOYMEVABIEN" localSheetId="7">[28]TABLA_VENTAS!$A$3:$D$400</definedName>
    <definedName name="HOYMEVABIEN" localSheetId="8">[29]TABLA_VENTAS!$A$3:$D$400</definedName>
    <definedName name="HOYMEVABIEN">[30]TABLA_VENTAS!$A$3:$D$400</definedName>
    <definedName name="HP_DIA" localSheetId="4">OFFSET(#REF!,0,0,1,#REF!)</definedName>
    <definedName name="HP_DIA" localSheetId="0">OFFSET(#REF!,0,0,1,#REF!)</definedName>
    <definedName name="HP_DIA" localSheetId="3">OFFSET(#REF!,0,0,1,#REF!)</definedName>
    <definedName name="HP_DIA" localSheetId="7">OFFSET(#REF!,0,0,1,#REF!)</definedName>
    <definedName name="HP_DIA" localSheetId="8">OFFSET(#REF!,0,0,1,#REF!)</definedName>
    <definedName name="HP_DIA" localSheetId="2">OFFSET(#REF!,0,0,1,#REF!)</definedName>
    <definedName name="HP_DIA">OFFSET(#REF!,0,0,1,#REF!)</definedName>
    <definedName name="HP_HP" localSheetId="4">OFFSET(#REF!,0,0,1,#REF!)</definedName>
    <definedName name="HP_HP" localSheetId="0">OFFSET(#REF!,0,0,1,#REF!)</definedName>
    <definedName name="HP_HP" localSheetId="3">OFFSET(#REF!,0,0,1,#REF!)</definedName>
    <definedName name="HP_HP" localSheetId="7">OFFSET(#REF!,0,0,1,#REF!)</definedName>
    <definedName name="HP_HP" localSheetId="8">OFFSET(#REF!,0,0,1,#REF!)</definedName>
    <definedName name="HP_HP" localSheetId="2">OFFSET(#REF!,0,0,1,#REF!)</definedName>
    <definedName name="HP_HP">OFFSET(#REF!,0,0,1,#REF!)</definedName>
    <definedName name="HP_ubi" localSheetId="4">OFFSET(#REF!,0,0,1,#REF!)</definedName>
    <definedName name="HP_ubi" localSheetId="0">OFFSET(#REF!,0,0,1,#REF!)</definedName>
    <definedName name="HP_ubi" localSheetId="3">OFFSET(#REF!,0,0,1,#REF!)</definedName>
    <definedName name="HP_ubi" localSheetId="7">OFFSET(#REF!,0,0,1,#REF!)</definedName>
    <definedName name="HP_ubi" localSheetId="8">OFFSET(#REF!,0,0,1,#REF!)</definedName>
    <definedName name="HP_ubi" localSheetId="2">OFFSET(#REF!,0,0,1,#REF!)</definedName>
    <definedName name="HP_ubi">OFFSET(#REF!,0,0,1,#REF!)</definedName>
    <definedName name="HRS_PARO" localSheetId="4">OFFSET(#REF!,#REF!,0,#REF!,4)</definedName>
    <definedName name="HRS_PARO" localSheetId="0">OFFSET(#REF!,#REF!,0,#REF!,4)</definedName>
    <definedName name="HRS_PARO" localSheetId="3">OFFSET(#REF!,#REF!,0,#REF!,4)</definedName>
    <definedName name="HRS_PARO" localSheetId="7">OFFSET(#REF!,#REF!,0,#REF!,4)</definedName>
    <definedName name="HRS_PARO" localSheetId="8">OFFSET(#REF!,#REF!,0,#REF!,4)</definedName>
    <definedName name="HRS_PARO" localSheetId="2">OFFSET(#REF!,#REF!,0,#REF!,4)</definedName>
    <definedName name="HRS_PARO">OFFSET(#REF!,#REF!,0,#REF!,4)</definedName>
    <definedName name="HRS_PARO_AREA" localSheetId="4">OFFSET(#REF!,#REF!,1,#REF!,1)</definedName>
    <definedName name="HRS_PARO_AREA" localSheetId="0">OFFSET(#REF!,#REF!,1,#REF!,1)</definedName>
    <definedName name="HRS_PARO_AREA" localSheetId="3">OFFSET(#REF!,#REF!,1,#REF!,1)</definedName>
    <definedName name="HRS_PARO_AREA" localSheetId="7">OFFSET(#REF!,#REF!,1,#REF!,1)</definedName>
    <definedName name="HRS_PARO_AREA" localSheetId="8">OFFSET(#REF!,#REF!,1,#REF!,1)</definedName>
    <definedName name="HRS_PARO_AREA" localSheetId="2">OFFSET(#REF!,#REF!,1,#REF!,1)</definedName>
    <definedName name="HRS_PARO_AREA">OFFSET(#REF!,#REF!,1,#REF!,1)</definedName>
    <definedName name="HRS_PARO_DIA" localSheetId="4">OFFSET(#REF!,#REF!,0,#REF!,1)</definedName>
    <definedName name="HRS_PARO_DIA" localSheetId="0">OFFSET(#REF!,#REF!,0,#REF!,1)</definedName>
    <definedName name="HRS_PARO_DIA" localSheetId="3">OFFSET(#REF!,#REF!,0,#REF!,1)</definedName>
    <definedName name="HRS_PARO_DIA" localSheetId="7">OFFSET(#REF!,#REF!,0,#REF!,1)</definedName>
    <definedName name="HRS_PARO_DIA" localSheetId="8">OFFSET(#REF!,#REF!,0,#REF!,1)</definedName>
    <definedName name="HRS_PARO_DIA" localSheetId="2">OFFSET(#REF!,#REF!,0,#REF!,1)</definedName>
    <definedName name="HRS_PARO_DIA">OFFSET(#REF!,#REF!,0,#REF!,1)</definedName>
    <definedName name="HRS_PARO_VLR" localSheetId="4">OFFSET(#REF!,#REF!,2,#REF!,1)</definedName>
    <definedName name="HRS_PARO_VLR" localSheetId="0">OFFSET(#REF!,#REF!,2,#REF!,1)</definedName>
    <definedName name="HRS_PARO_VLR" localSheetId="3">OFFSET(#REF!,#REF!,2,#REF!,1)</definedName>
    <definedName name="HRS_PARO_VLR" localSheetId="7">OFFSET(#REF!,#REF!,2,#REF!,1)</definedName>
    <definedName name="HRS_PARO_VLR" localSheetId="8">OFFSET(#REF!,#REF!,2,#REF!,1)</definedName>
    <definedName name="HRS_PARO_VLR" localSheetId="2">OFFSET(#REF!,#REF!,2,#REF!,1)</definedName>
    <definedName name="HRS_PARO_VLR">OFFSET(#REF!,#REF!,2,#REF!,1)</definedName>
    <definedName name="htyuj">[1]TABLA_VENTAS!$A$3:$D$400</definedName>
    <definedName name="HUIJK">[1]TABLA_VENTAS!$A$3:$D$400</definedName>
    <definedName name="HUJ" localSheetId="4">#REF!</definedName>
    <definedName name="HUJ" localSheetId="0">#REF!</definedName>
    <definedName name="HUJ" localSheetId="3">#REF!</definedName>
    <definedName name="HUJ" localSheetId="7">#REF!</definedName>
    <definedName name="HUJ" localSheetId="8">#REF!</definedName>
    <definedName name="HUJ" localSheetId="2">#REF!</definedName>
    <definedName name="HUJ">#REF!</definedName>
    <definedName name="hyjo" localSheetId="0">[27]TABLA_VENTAS!$A$3:$D$400</definedName>
    <definedName name="hyjo" localSheetId="7">[28]TABLA_VENTAS!$A$3:$D$400</definedName>
    <definedName name="hyjo" localSheetId="8">[29]TABLA_VENTAS!$A$3:$D$400</definedName>
    <definedName name="hyjo">[30]TABLA_VENTAS!$A$3:$D$400</definedName>
    <definedName name="HYT">[1]TABLA_VENTAS!$A$3:$D$400</definedName>
    <definedName name="hytms" localSheetId="0">[4]TABLA_VENTAS!$A$3:$D$400</definedName>
    <definedName name="hytms" localSheetId="7">[5]TABLA_VENTAS!$A$3:$D$400</definedName>
    <definedName name="hytms" localSheetId="8">[6]TABLA_VENTAS!$A$3:$D$400</definedName>
    <definedName name="hytms">[7]TABLA_VENTAS!$A$3:$D$400</definedName>
    <definedName name="HYTUIO" localSheetId="4">#REF!</definedName>
    <definedName name="HYTUIO" localSheetId="0">#REF!</definedName>
    <definedName name="HYTUIO" localSheetId="3">#REF!</definedName>
    <definedName name="HYTUIO" localSheetId="7">#REF!</definedName>
    <definedName name="HYTUIO" localSheetId="8">#REF!</definedName>
    <definedName name="HYTUIO" localSheetId="2">#REF!</definedName>
    <definedName name="HYTUIO">#REF!</definedName>
    <definedName name="I8O" localSheetId="4">#REF!</definedName>
    <definedName name="I8O" localSheetId="0">#REF!</definedName>
    <definedName name="I8O" localSheetId="3">#REF!</definedName>
    <definedName name="I8O" localSheetId="7">#REF!</definedName>
    <definedName name="I8O" localSheetId="8">#REF!</definedName>
    <definedName name="I8O" localSheetId="2">#REF!</definedName>
    <definedName name="I8O">#REF!</definedName>
    <definedName name="ijyt" localSheetId="4">#REF!</definedName>
    <definedName name="ijyt" localSheetId="0">#REF!</definedName>
    <definedName name="ijyt" localSheetId="3">#REF!</definedName>
    <definedName name="ijyt" localSheetId="7">#REF!</definedName>
    <definedName name="ijyt" localSheetId="8">#REF!</definedName>
    <definedName name="ijyt" localSheetId="2">#REF!</definedName>
    <definedName name="ijyt">#REF!</definedName>
    <definedName name="IKJU" localSheetId="4">#REF!</definedName>
    <definedName name="IKJU" localSheetId="0">#REF!</definedName>
    <definedName name="IKJU" localSheetId="3">#REF!</definedName>
    <definedName name="IKJU" localSheetId="7">#REF!</definedName>
    <definedName name="IKJU" localSheetId="8">#REF!</definedName>
    <definedName name="IKJU" localSheetId="2">#REF!</definedName>
    <definedName name="IKJU">#REF!</definedName>
    <definedName name="IKJUOL" localSheetId="4">#REF!</definedName>
    <definedName name="IKJUOL" localSheetId="0">#REF!</definedName>
    <definedName name="IKJUOL" localSheetId="3">#REF!</definedName>
    <definedName name="IKJUOL" localSheetId="7">#REF!</definedName>
    <definedName name="IKJUOL" localSheetId="8">#REF!</definedName>
    <definedName name="IKJUOL" localSheetId="2">#REF!</definedName>
    <definedName name="IKJUOL">#REF!</definedName>
    <definedName name="IKJUYH" localSheetId="4">#REF!</definedName>
    <definedName name="IKJUYH" localSheetId="0">#REF!</definedName>
    <definedName name="IKJUYH" localSheetId="3">#REF!</definedName>
    <definedName name="IKJUYH" localSheetId="7">#REF!</definedName>
    <definedName name="IKJUYH" localSheetId="8">#REF!</definedName>
    <definedName name="IKJUYH" localSheetId="2">#REF!</definedName>
    <definedName name="IKJUYH">#REF!</definedName>
    <definedName name="IKLOP" localSheetId="4">#REF!</definedName>
    <definedName name="IKLOP" localSheetId="0">#REF!</definedName>
    <definedName name="IKLOP" localSheetId="3">#REF!</definedName>
    <definedName name="IKLOP" localSheetId="7">#REF!</definedName>
    <definedName name="IKLOP" localSheetId="8">#REF!</definedName>
    <definedName name="IKLOP" localSheetId="2">#REF!</definedName>
    <definedName name="IKLOP">#REF!</definedName>
    <definedName name="IKOJK" localSheetId="4">#REF!</definedName>
    <definedName name="IKOJK" localSheetId="0">#REF!</definedName>
    <definedName name="IKOJK" localSheetId="3">#REF!</definedName>
    <definedName name="IKOJK" localSheetId="7">#REF!</definedName>
    <definedName name="IKOJK" localSheetId="8">#REF!</definedName>
    <definedName name="IKOJK" localSheetId="2">#REF!</definedName>
    <definedName name="IKOJK">#REF!</definedName>
    <definedName name="IKU" localSheetId="4">#REF!</definedName>
    <definedName name="IKU" localSheetId="0">#REF!</definedName>
    <definedName name="IKU" localSheetId="3">#REF!</definedName>
    <definedName name="IKU" localSheetId="7">#REF!</definedName>
    <definedName name="IKU" localSheetId="8">#REF!</definedName>
    <definedName name="IKU" localSheetId="2">#REF!</definedName>
    <definedName name="IKU">#REF!</definedName>
    <definedName name="IKUY" localSheetId="4">#REF!</definedName>
    <definedName name="IKUY" localSheetId="0">#REF!</definedName>
    <definedName name="IKUY" localSheetId="3">#REF!</definedName>
    <definedName name="IKUY" localSheetId="7">#REF!</definedName>
    <definedName name="IKUY" localSheetId="8">#REF!</definedName>
    <definedName name="IKUY" localSheetId="2">#REF!</definedName>
    <definedName name="IKUY">#REF!</definedName>
    <definedName name="IKUYE" localSheetId="4">#REF!</definedName>
    <definedName name="IKUYE" localSheetId="0">#REF!</definedName>
    <definedName name="IKUYE" localSheetId="3">#REF!</definedName>
    <definedName name="IKUYE" localSheetId="7">#REF!</definedName>
    <definedName name="IKUYE" localSheetId="8">#REF!</definedName>
    <definedName name="IKUYE" localSheetId="2">#REF!</definedName>
    <definedName name="IKUYE">#REF!</definedName>
    <definedName name="ILOU" localSheetId="4">#REF!</definedName>
    <definedName name="ILOU" localSheetId="0">#REF!</definedName>
    <definedName name="ILOU" localSheetId="3">#REF!</definedName>
    <definedName name="ILOU" localSheetId="7">#REF!</definedName>
    <definedName name="ILOU" localSheetId="8">#REF!</definedName>
    <definedName name="ILOU" localSheetId="2">#REF!</definedName>
    <definedName name="ILOU">#REF!</definedName>
    <definedName name="INTERSECT" localSheetId="4">#REF!</definedName>
    <definedName name="INTERSECT" localSheetId="0">#REF!</definedName>
    <definedName name="INTERSECT" localSheetId="3">#REF!</definedName>
    <definedName name="INTERSECT" localSheetId="7">#REF!</definedName>
    <definedName name="INTERSECT" localSheetId="8">#REF!</definedName>
    <definedName name="INTERSECT" localSheetId="2">#REF!</definedName>
    <definedName name="INTERSECT">#REF!</definedName>
    <definedName name="IntroPrintArea" localSheetId="4" hidden="1">#REF!</definedName>
    <definedName name="IntroPrintArea" localSheetId="0" hidden="1">#REF!</definedName>
    <definedName name="IntroPrintArea" localSheetId="3" hidden="1">#REF!</definedName>
    <definedName name="IntroPrintArea" localSheetId="7" hidden="1">#REF!</definedName>
    <definedName name="IntroPrintArea" localSheetId="8" hidden="1">#REF!</definedName>
    <definedName name="IntroPrintArea" localSheetId="2" hidden="1">#REF!</definedName>
    <definedName name="IntroPrintArea" hidden="1">#REF!</definedName>
    <definedName name="IOLÑ" localSheetId="4">#REF!</definedName>
    <definedName name="IOLÑ" localSheetId="0">#REF!</definedName>
    <definedName name="IOLÑ" localSheetId="3">#REF!</definedName>
    <definedName name="IOLÑ" localSheetId="7">#REF!</definedName>
    <definedName name="IOLÑ" localSheetId="8">#REF!</definedName>
    <definedName name="IOLÑ" localSheetId="2">#REF!</definedName>
    <definedName name="IOLÑ">#REF!</definedName>
    <definedName name="IOP" localSheetId="4">#REF!</definedName>
    <definedName name="IOP" localSheetId="0">#REF!</definedName>
    <definedName name="IOP" localSheetId="3">#REF!</definedName>
    <definedName name="IOP" localSheetId="7">#REF!</definedName>
    <definedName name="IOP" localSheetId="8">#REF!</definedName>
    <definedName name="IOP" localSheetId="2">#REF!</definedName>
    <definedName name="IOP">#REF!</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41595.5207060185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UJK" localSheetId="4">#REF!</definedName>
    <definedName name="IUJK" localSheetId="0">#REF!</definedName>
    <definedName name="IUJK" localSheetId="3">#REF!</definedName>
    <definedName name="IUJK" localSheetId="7">#REF!</definedName>
    <definedName name="IUJK" localSheetId="8">#REF!</definedName>
    <definedName name="IUJK" localSheetId="2">#REF!</definedName>
    <definedName name="IUJK">#REF!</definedName>
    <definedName name="IUKH" localSheetId="4">#REF!</definedName>
    <definedName name="IUKH" localSheetId="0">#REF!</definedName>
    <definedName name="IUKH" localSheetId="3">#REF!</definedName>
    <definedName name="IUKH" localSheetId="7">#REF!</definedName>
    <definedName name="IUKH" localSheetId="8">#REF!</definedName>
    <definedName name="IUKH" localSheetId="2">#REF!</definedName>
    <definedName name="IUKH">#REF!</definedName>
    <definedName name="IUYJ" localSheetId="4">#REF!</definedName>
    <definedName name="IUYJ" localSheetId="0">#REF!</definedName>
    <definedName name="IUYJ" localSheetId="3">#REF!</definedName>
    <definedName name="IUYJ" localSheetId="7">#REF!</definedName>
    <definedName name="IUYJ" localSheetId="8">#REF!</definedName>
    <definedName name="IUYJ" localSheetId="2">#REF!</definedName>
    <definedName name="IUYJ">#REF!</definedName>
    <definedName name="J">'[3]TABLA-VENTAS'!$A$3:$D$400</definedName>
    <definedName name="jaker" localSheetId="0">[4]TABLA_VENTAS!$A$3:$D$400</definedName>
    <definedName name="jaker" localSheetId="7">[5]TABLA_VENTAS!$A$3:$D$400</definedName>
    <definedName name="jaker" localSheetId="8">[6]TABLA_VENTAS!$A$3:$D$400</definedName>
    <definedName name="jaker">[7]TABLA_VENTAS!$A$3:$D$400</definedName>
    <definedName name="JAMESSIS" localSheetId="0">[23]TABLA_VENTAS!$A$3:$D$400</definedName>
    <definedName name="JAMESSIS" localSheetId="7">[24]TABLA_VENTAS!$A$3:$D$400</definedName>
    <definedName name="JAMESSIS" localSheetId="8">[25]TABLA_VENTAS!$A$3:$D$400</definedName>
    <definedName name="JAMESSIS">[26]TABLA_VENTAS!$A$3:$D$400</definedName>
    <definedName name="JCE">[1]TABLA_VENTAS!$A$3:$D$400</definedName>
    <definedName name="jdgsyfuj" localSheetId="0">[23]TABLA_VENTAS!$A$3:$D$400</definedName>
    <definedName name="jdgsyfuj" localSheetId="7">[24]TABLA_VENTAS!$A$3:$D$400</definedName>
    <definedName name="jdgsyfuj" localSheetId="8">[25]TABLA_VENTAS!$A$3:$D$400</definedName>
    <definedName name="jdgsyfuj">[26]TABLA_VENTAS!$A$3:$D$400</definedName>
    <definedName name="JENIFFER">[1]TABLA_VENTAS!$A$3:$D$400</definedName>
    <definedName name="JESIQ" localSheetId="0">[19]TABLA_VENTAS!$A$3:$D$400</definedName>
    <definedName name="JESIQ" localSheetId="7">[20]TABLA_VENTAS!$A$3:$D$400</definedName>
    <definedName name="JESIQ" localSheetId="8">[21]TABLA_VENTAS!$A$3:$D$400</definedName>
    <definedName name="JESIQ">[22]TABLA_VENTAS!$A$3:$D$400</definedName>
    <definedName name="jessikbonilla" localSheetId="0">[27]TABLA_VENTAS!$A$3:$D$400</definedName>
    <definedName name="jessikbonilla" localSheetId="7">[28]TABLA_VENTAS!$A$3:$D$400</definedName>
    <definedName name="jessikbonilla" localSheetId="8">[29]TABLA_VENTAS!$A$3:$D$400</definedName>
    <definedName name="jessikbonilla">[30]TABLA_VENTAS!$A$3:$D$400</definedName>
    <definedName name="JHBG" localSheetId="4">#REF!</definedName>
    <definedName name="JHBG" localSheetId="0">#REF!</definedName>
    <definedName name="JHBG" localSheetId="3">#REF!</definedName>
    <definedName name="JHBG" localSheetId="7">#REF!</definedName>
    <definedName name="JHBG" localSheetId="8">#REF!</definedName>
    <definedName name="JHBG" localSheetId="2">#REF!</definedName>
    <definedName name="JHBG">#REF!</definedName>
    <definedName name="JHJF" localSheetId="4">#REF!</definedName>
    <definedName name="JHJF" localSheetId="0">#REF!</definedName>
    <definedName name="JHJF" localSheetId="3">#REF!</definedName>
    <definedName name="JHJF" localSheetId="7">#REF!</definedName>
    <definedName name="JHJF" localSheetId="8">#REF!</definedName>
    <definedName name="JHJF" localSheetId="2">#REF!</definedName>
    <definedName name="JHJF">#REF!</definedName>
    <definedName name="JHKUY" localSheetId="4">#REF!</definedName>
    <definedName name="JHKUY" localSheetId="0">#REF!</definedName>
    <definedName name="JHKUY" localSheetId="3">#REF!</definedName>
    <definedName name="JHKUY" localSheetId="7">#REF!</definedName>
    <definedName name="JHKUY" localSheetId="8">#REF!</definedName>
    <definedName name="JHKUY" localSheetId="2">#REF!</definedName>
    <definedName name="JHKUY">#REF!</definedName>
    <definedName name="JHYT" localSheetId="4">#REF!</definedName>
    <definedName name="JHYT" localSheetId="0">#REF!</definedName>
    <definedName name="JHYT" localSheetId="3">#REF!</definedName>
    <definedName name="JHYT" localSheetId="7">#REF!</definedName>
    <definedName name="JHYT" localSheetId="8">#REF!</definedName>
    <definedName name="JHYT" localSheetId="2">#REF!</definedName>
    <definedName name="JHYT">#REF!</definedName>
    <definedName name="JHYTG" localSheetId="4">#REF!</definedName>
    <definedName name="JHYTG" localSheetId="0">#REF!</definedName>
    <definedName name="JHYTG" localSheetId="3">#REF!</definedName>
    <definedName name="JHYTG" localSheetId="7">#REF!</definedName>
    <definedName name="JHYTG" localSheetId="8">#REF!</definedName>
    <definedName name="JHYTG" localSheetId="2">#REF!</definedName>
    <definedName name="JHYTG">#REF!</definedName>
    <definedName name="JHYU" localSheetId="4">#REF!</definedName>
    <definedName name="JHYU" localSheetId="0">#REF!</definedName>
    <definedName name="JHYU" localSheetId="3">#REF!</definedName>
    <definedName name="JHYU" localSheetId="7">#REF!</definedName>
    <definedName name="JHYU" localSheetId="8">#REF!</definedName>
    <definedName name="JHYU" localSheetId="2">#REF!</definedName>
    <definedName name="JHYU">#REF!</definedName>
    <definedName name="JIK">[1]TABLA_VENTAS!$A$3:$D$400</definedName>
    <definedName name="JIL">[1]TABLA_VENTAS!$A$3:$D$400</definedName>
    <definedName name="JINSSY">[1]TABLA_VENTAS!$A$3:$D$400</definedName>
    <definedName name="jip" localSheetId="4">#REF!</definedName>
    <definedName name="jip" localSheetId="0">#REF!</definedName>
    <definedName name="jip" localSheetId="3">#REF!</definedName>
    <definedName name="jip" localSheetId="7">#REF!</definedName>
    <definedName name="jip" localSheetId="8">#REF!</definedName>
    <definedName name="jip" localSheetId="2">#REF!</definedName>
    <definedName name="jip">#REF!</definedName>
    <definedName name="JJESSSIK">[1]TABLA_VENTAS!$A$3:$D$400</definedName>
    <definedName name="JJHGBN">'[2]TABLA-VENTAS'!$A$3:$D$400</definedName>
    <definedName name="JK">'[3]TABLA-VENTAS'!$A$3:$D$400</definedName>
    <definedName name="JKAFSVD" localSheetId="0">[52]TABLA_VENTAS!$A$3:$D$400</definedName>
    <definedName name="JKAFSVD" localSheetId="7">[53]TABLA_VENTAS!$A$3:$D$400</definedName>
    <definedName name="JKAFSVD" localSheetId="8">[54]TABLA_VENTAS!$A$3:$D$400</definedName>
    <definedName name="JKAFSVD">[55]TABLA_VENTAS!$A$3:$D$400</definedName>
    <definedName name="JKIO" localSheetId="4">#REF!</definedName>
    <definedName name="JKIO" localSheetId="0">#REF!</definedName>
    <definedName name="JKIO" localSheetId="3">#REF!</definedName>
    <definedName name="JKIO" localSheetId="7">#REF!</definedName>
    <definedName name="JKIO" localSheetId="8">#REF!</definedName>
    <definedName name="JKIO" localSheetId="2">#REF!</definedName>
    <definedName name="JKIO">#REF!</definedName>
    <definedName name="JKIU" localSheetId="4">#REF!</definedName>
    <definedName name="JKIU" localSheetId="0">#REF!</definedName>
    <definedName name="JKIU" localSheetId="3">#REF!</definedName>
    <definedName name="JKIU" localSheetId="7">#REF!</definedName>
    <definedName name="JKIU" localSheetId="8">#REF!</definedName>
    <definedName name="JKIU" localSheetId="2">#REF!</definedName>
    <definedName name="JKIU">#REF!</definedName>
    <definedName name="JKIUH">'[2]TABLA-VENTAS'!$A$3:$D$400</definedName>
    <definedName name="JKL" localSheetId="4">#REF!</definedName>
    <definedName name="JKL" localSheetId="0">#REF!</definedName>
    <definedName name="JKL" localSheetId="3">#REF!</definedName>
    <definedName name="JKL" localSheetId="7">#REF!</definedName>
    <definedName name="JKL" localSheetId="8">#REF!</definedName>
    <definedName name="JKL" localSheetId="2">#REF!</definedName>
    <definedName name="JKL">#REF!</definedName>
    <definedName name="JKO" localSheetId="4">#REF!</definedName>
    <definedName name="JKO" localSheetId="0">#REF!</definedName>
    <definedName name="JKO" localSheetId="3">#REF!</definedName>
    <definedName name="JKO" localSheetId="7">#REF!</definedName>
    <definedName name="JKO" localSheetId="8">#REF!</definedName>
    <definedName name="JKO" localSheetId="2">#REF!</definedName>
    <definedName name="JKO">#REF!</definedName>
    <definedName name="JKUU" localSheetId="4">#REF!</definedName>
    <definedName name="JKUU" localSheetId="0">#REF!</definedName>
    <definedName name="JKUU" localSheetId="3">#REF!</definedName>
    <definedName name="JKUU" localSheetId="7">#REF!</definedName>
    <definedName name="JKUU" localSheetId="8">#REF!</definedName>
    <definedName name="JKUU" localSheetId="2">#REF!</definedName>
    <definedName name="JKUU">#REF!</definedName>
    <definedName name="JM">[1]TABLA_VENTAS!$A$3:$D$400</definedName>
    <definedName name="JMNG" localSheetId="4">#REF!</definedName>
    <definedName name="JMNG" localSheetId="0">#REF!</definedName>
    <definedName name="JMNG" localSheetId="3">#REF!</definedName>
    <definedName name="JMNG" localSheetId="7">#REF!</definedName>
    <definedName name="JMNG" localSheetId="8">#REF!</definedName>
    <definedName name="JMNG" localSheetId="2">#REF!</definedName>
    <definedName name="JMNG">#REF!</definedName>
    <definedName name="JMNH" localSheetId="4">#REF!</definedName>
    <definedName name="JMNH" localSheetId="0">#REF!</definedName>
    <definedName name="JMNH" localSheetId="3">#REF!</definedName>
    <definedName name="JMNH" localSheetId="7">#REF!</definedName>
    <definedName name="JMNH" localSheetId="8">#REF!</definedName>
    <definedName name="JMNH" localSheetId="2">#REF!</definedName>
    <definedName name="JMNH">#REF!</definedName>
    <definedName name="JMNHGB" localSheetId="4">#REF!</definedName>
    <definedName name="JMNHGB" localSheetId="0">#REF!</definedName>
    <definedName name="JMNHGB" localSheetId="3">#REF!</definedName>
    <definedName name="JMNHGB" localSheetId="7">#REF!</definedName>
    <definedName name="JMNHGB" localSheetId="8">#REF!</definedName>
    <definedName name="JMNHGB" localSheetId="2">#REF!</definedName>
    <definedName name="JMNHGB">#REF!</definedName>
    <definedName name="JNMH" localSheetId="4">#REF!</definedName>
    <definedName name="JNMH" localSheetId="0">#REF!</definedName>
    <definedName name="JNMH" localSheetId="3">#REF!</definedName>
    <definedName name="JNMH" localSheetId="7">#REF!</definedName>
    <definedName name="JNMH" localSheetId="8">#REF!</definedName>
    <definedName name="JNMH" localSheetId="2">#REF!</definedName>
    <definedName name="JNMH">#REF!</definedName>
    <definedName name="joul">[1]TABLA_VENTAS!$A$3:$D$400</definedName>
    <definedName name="ju">'[3]TABLA-VENTAS'!$A$3:$D$400</definedName>
    <definedName name="juanhis" localSheetId="0">[19]TABLA_VENTAS!$A$3:$D$400</definedName>
    <definedName name="juanhis" localSheetId="7">[20]TABLA_VENTAS!$A$3:$D$400</definedName>
    <definedName name="juanhis" localSheetId="8">[21]TABLA_VENTAS!$A$3:$D$400</definedName>
    <definedName name="juanhis">[22]TABLA_VENTAS!$A$3:$D$400</definedName>
    <definedName name="JUDIO">[1]TABLA_VENTAS!$A$3:$D$400</definedName>
    <definedName name="JUGY">[1]TABLA_VENTAS!$A$3:$D$400</definedName>
    <definedName name="JUH">[1]TABLA_VENTAS!$A$3:$D$400</definedName>
    <definedName name="JUHI" localSheetId="4">#REF!</definedName>
    <definedName name="JUHI" localSheetId="0">#REF!</definedName>
    <definedName name="JUHI" localSheetId="3">#REF!</definedName>
    <definedName name="JUHI" localSheetId="7">#REF!</definedName>
    <definedName name="JUHI" localSheetId="8">#REF!</definedName>
    <definedName name="JUHI" localSheetId="2">#REF!</definedName>
    <definedName name="JUHI">#REF!</definedName>
    <definedName name="JUHYTG" localSheetId="4">#REF!</definedName>
    <definedName name="JUHYTG" localSheetId="0">#REF!</definedName>
    <definedName name="JUHYTG" localSheetId="3">#REF!</definedName>
    <definedName name="JUHYTG" localSheetId="7">#REF!</definedName>
    <definedName name="JUHYTG" localSheetId="8">#REF!</definedName>
    <definedName name="JUHYTG" localSheetId="2">#REF!</definedName>
    <definedName name="JUHYTG">#REF!</definedName>
    <definedName name="JUIK" localSheetId="4">#REF!</definedName>
    <definedName name="JUIK" localSheetId="0">#REF!</definedName>
    <definedName name="JUIK" localSheetId="3">#REF!</definedName>
    <definedName name="JUIK" localSheetId="7">#REF!</definedName>
    <definedName name="JUIK" localSheetId="8">#REF!</definedName>
    <definedName name="JUIK" localSheetId="2">#REF!</definedName>
    <definedName name="JUIK">#REF!</definedName>
    <definedName name="JUYUYU" localSheetId="4">#REF!</definedName>
    <definedName name="JUYUYU" localSheetId="0">#REF!</definedName>
    <definedName name="JUYUYU" localSheetId="3">#REF!</definedName>
    <definedName name="JUYUYU" localSheetId="7">#REF!</definedName>
    <definedName name="JUYUYU" localSheetId="8">#REF!</definedName>
    <definedName name="JUYUYU" localSheetId="2">#REF!</definedName>
    <definedName name="JUYUYU">#REF!</definedName>
    <definedName name="JYH" localSheetId="4">#REF!</definedName>
    <definedName name="JYH" localSheetId="0">#REF!</definedName>
    <definedName name="JYH" localSheetId="3">#REF!</definedName>
    <definedName name="JYH" localSheetId="7">#REF!</definedName>
    <definedName name="JYH" localSheetId="8">#REF!</definedName>
    <definedName name="JYH" localSheetId="2">#REF!</definedName>
    <definedName name="JYH">#REF!</definedName>
    <definedName name="k">'[3]TABLA-VENTAS'!$A$3:$D$400</definedName>
    <definedName name="KEDUAD" localSheetId="0">[27]TABLA_VENTAS!$A$3:$D$400</definedName>
    <definedName name="KEDUAD" localSheetId="7">[28]TABLA_VENTAS!$A$3:$D$400</definedName>
    <definedName name="KEDUAD" localSheetId="8">[29]TABLA_VENTAS!$A$3:$D$400</definedName>
    <definedName name="KEDUAD">[30]TABLA_VENTAS!$A$3:$D$400</definedName>
    <definedName name="KESO" localSheetId="0">[56]TABLA_VENTAS!$A$3:$D$400</definedName>
    <definedName name="KESO" localSheetId="7">[57]TABLA_VENTAS!$A$3:$D$400</definedName>
    <definedName name="KESO" localSheetId="8">[58]TABLA_VENTAS!$A$3:$D$400</definedName>
    <definedName name="KESO">[59]TABLA_VENTAS!$A$3:$D$400</definedName>
    <definedName name="KI">[1]TABLA_VENTAS!$A$3:$D$400</definedName>
    <definedName name="KIEN">[1]TABLA_VENTAS!$A$3:$D$400</definedName>
    <definedName name="KIGD" localSheetId="0">[52]TABLA_VENTAS!$A$3:$D$400</definedName>
    <definedName name="KIGD" localSheetId="7">[53]TABLA_VENTAS!$A$3:$D$400</definedName>
    <definedName name="KIGD" localSheetId="8">[54]TABLA_VENTAS!$A$3:$D$400</definedName>
    <definedName name="KIGD">[55]TABLA_VENTAS!$A$3:$D$400</definedName>
    <definedName name="KIJUYH" localSheetId="4">#REF!</definedName>
    <definedName name="KIJUYH" localSheetId="0">#REF!</definedName>
    <definedName name="KIJUYH" localSheetId="3">#REF!</definedName>
    <definedName name="KIJUYH" localSheetId="7">#REF!</definedName>
    <definedName name="KIJUYH" localSheetId="8">#REF!</definedName>
    <definedName name="KIJUYH" localSheetId="2">#REF!</definedName>
    <definedName name="KIJUYH">#REF!</definedName>
    <definedName name="KILOJ">[1]TABLA_VENTAS!$A$3:$D$400</definedName>
    <definedName name="KIO" localSheetId="4">#REF!</definedName>
    <definedName name="KIO" localSheetId="0">#REF!</definedName>
    <definedName name="KIO" localSheetId="3">#REF!</definedName>
    <definedName name="KIO" localSheetId="7">#REF!</definedName>
    <definedName name="KIO" localSheetId="8">#REF!</definedName>
    <definedName name="KIO" localSheetId="2">#REF!</definedName>
    <definedName name="KIO">#REF!</definedName>
    <definedName name="KIUJH" localSheetId="4">#REF!</definedName>
    <definedName name="KIUJH" localSheetId="0">#REF!</definedName>
    <definedName name="KIUJH" localSheetId="3">#REF!</definedName>
    <definedName name="KIUJH" localSheetId="7">#REF!</definedName>
    <definedName name="KIUJH" localSheetId="8">#REF!</definedName>
    <definedName name="KIUJH" localSheetId="2">#REF!</definedName>
    <definedName name="KIUJH">#REF!</definedName>
    <definedName name="KIUJHH" localSheetId="4">#REF!</definedName>
    <definedName name="KIUJHH" localSheetId="0">#REF!</definedName>
    <definedName name="KIUJHH" localSheetId="3">#REF!</definedName>
    <definedName name="KIUJHH" localSheetId="7">#REF!</definedName>
    <definedName name="KIUJHH" localSheetId="8">#REF!</definedName>
    <definedName name="KIUJHH" localSheetId="2">#REF!</definedName>
    <definedName name="KIUJHH">#REF!</definedName>
    <definedName name="KJHN" localSheetId="4">#REF!</definedName>
    <definedName name="KJHN" localSheetId="0">#REF!</definedName>
    <definedName name="KJHN" localSheetId="3">#REF!</definedName>
    <definedName name="KJHN" localSheetId="7">#REF!</definedName>
    <definedName name="KJHN" localSheetId="8">#REF!</definedName>
    <definedName name="KJHN" localSheetId="2">#REF!</definedName>
    <definedName name="KJHN">#REF!</definedName>
    <definedName name="KJHUK">'[2]TABLA-VENTAS'!$A$3:$D$400</definedName>
    <definedName name="KJHYU" localSheetId="4">#REF!</definedName>
    <definedName name="KJHYU" localSheetId="0">#REF!</definedName>
    <definedName name="KJHYU" localSheetId="3">#REF!</definedName>
    <definedName name="KJHYU" localSheetId="7">#REF!</definedName>
    <definedName name="KJHYU" localSheetId="8">#REF!</definedName>
    <definedName name="KJHYU" localSheetId="2">#REF!</definedName>
    <definedName name="KJHYU">#REF!</definedName>
    <definedName name="KJUI" localSheetId="4">#REF!</definedName>
    <definedName name="KJUI" localSheetId="0">#REF!</definedName>
    <definedName name="KJUI" localSheetId="3">#REF!</definedName>
    <definedName name="KJUI" localSheetId="7">#REF!</definedName>
    <definedName name="KJUI" localSheetId="8">#REF!</definedName>
    <definedName name="KJUI" localSheetId="2">#REF!</definedName>
    <definedName name="KJUI">#REF!</definedName>
    <definedName name="KKJHUJ">[1]TABLA_VENTAS!$A$3:$D$400</definedName>
    <definedName name="KLI">[12]TABLA_VENTAS!$A$3:$D$400</definedName>
    <definedName name="KLOI" localSheetId="4">#REF!</definedName>
    <definedName name="KLOI" localSheetId="0">#REF!</definedName>
    <definedName name="KLOI" localSheetId="3">#REF!</definedName>
    <definedName name="KLOI" localSheetId="7">#REF!</definedName>
    <definedName name="KLOI" localSheetId="8">#REF!</definedName>
    <definedName name="KLOI" localSheetId="2">#REF!</definedName>
    <definedName name="KLOI">#REF!</definedName>
    <definedName name="kloii" localSheetId="4">#REF!</definedName>
    <definedName name="kloii" localSheetId="0">#REF!</definedName>
    <definedName name="kloii" localSheetId="3">#REF!</definedName>
    <definedName name="kloii" localSheetId="7">#REF!</definedName>
    <definedName name="kloii" localSheetId="8">#REF!</definedName>
    <definedName name="kloii" localSheetId="2">#REF!</definedName>
    <definedName name="kloii">#REF!</definedName>
    <definedName name="KLOP" localSheetId="4">#REF!</definedName>
    <definedName name="KLOP" localSheetId="0">#REF!</definedName>
    <definedName name="KLOP" localSheetId="3">#REF!</definedName>
    <definedName name="KLOP" localSheetId="7">#REF!</definedName>
    <definedName name="KLOP" localSheetId="8">#REF!</definedName>
    <definedName name="KLOP" localSheetId="2">#REF!</definedName>
    <definedName name="KLOP">#REF!</definedName>
    <definedName name="KMJNH" localSheetId="4">#REF!</definedName>
    <definedName name="KMJNH" localSheetId="0">#REF!</definedName>
    <definedName name="KMJNH" localSheetId="3">#REF!</definedName>
    <definedName name="KMJNH" localSheetId="7">#REF!</definedName>
    <definedName name="KMJNH" localSheetId="8">#REF!</definedName>
    <definedName name="KMJNH" localSheetId="2">#REF!</definedName>
    <definedName name="KMJNH">#REF!</definedName>
    <definedName name="KMJU" localSheetId="4">#REF!</definedName>
    <definedName name="KMJU" localSheetId="0">#REF!</definedName>
    <definedName name="KMJU" localSheetId="3">#REF!</definedName>
    <definedName name="KMJU" localSheetId="7">#REF!</definedName>
    <definedName name="KMJU" localSheetId="8">#REF!</definedName>
    <definedName name="KMJU" localSheetId="2">#REF!</definedName>
    <definedName name="KMJU">#REF!</definedName>
    <definedName name="KMN" localSheetId="4">#REF!</definedName>
    <definedName name="KMN" localSheetId="0">#REF!</definedName>
    <definedName name="KMN" localSheetId="3">#REF!</definedName>
    <definedName name="KMN" localSheetId="7">#REF!</definedName>
    <definedName name="KMN" localSheetId="8">#REF!</definedName>
    <definedName name="KMN" localSheetId="2">#REF!</definedName>
    <definedName name="KMN">#REF!</definedName>
    <definedName name="KMNJ" localSheetId="4">#REF!</definedName>
    <definedName name="KMNJ" localSheetId="0">#REF!</definedName>
    <definedName name="KMNJ" localSheetId="3">#REF!</definedName>
    <definedName name="KMNJ" localSheetId="7">#REF!</definedName>
    <definedName name="KMNJ" localSheetId="8">#REF!</definedName>
    <definedName name="KMNJ" localSheetId="2">#REF!</definedName>
    <definedName name="KMNJ">#REF!</definedName>
    <definedName name="KOL">[1]TABLA_VENTAS!$A$3:$D$400</definedName>
    <definedName name="KP_AC" localSheetId="4">OFFSET(#REF!,0,0,1,#REF!)</definedName>
    <definedName name="KP_AC" localSheetId="0">OFFSET(#REF!,0,0,1,#REF!)</definedName>
    <definedName name="KP_AC" localSheetId="3">OFFSET(#REF!,0,0,1,#REF!)</definedName>
    <definedName name="KP_AC" localSheetId="7">OFFSET(#REF!,0,0,1,#REF!)</definedName>
    <definedName name="KP_AC" localSheetId="8">OFFSET(#REF!,0,0,1,#REF!)</definedName>
    <definedName name="KP_AC" localSheetId="2">OFFSET(#REF!,0,0,1,#REF!)</definedName>
    <definedName name="KP_AC">OFFSET(#REF!,0,0,1,#REF!)</definedName>
    <definedName name="KP_Dia" localSheetId="4">OFFSET(#REF!,0,0,1,#REF!)</definedName>
    <definedName name="KP_Dia" localSheetId="0">OFFSET(#REF!,0,0,1,#REF!)</definedName>
    <definedName name="KP_Dia" localSheetId="3">OFFSET(#REF!,0,0,1,#REF!)</definedName>
    <definedName name="KP_Dia" localSheetId="7">OFFSET(#REF!,0,0,1,#REF!)</definedName>
    <definedName name="KP_Dia" localSheetId="8">OFFSET(#REF!,0,0,1,#REF!)</definedName>
    <definedName name="KP_Dia" localSheetId="2">OFFSET(#REF!,0,0,1,#REF!)</definedName>
    <definedName name="KP_Dia">OFFSET(#REF!,0,0,1,#REF!)</definedName>
    <definedName name="KP_KP" localSheetId="4">OFFSET(#REF!,0,0,1,#REF!)</definedName>
    <definedName name="KP_KP" localSheetId="0">OFFSET(#REF!,0,0,1,#REF!)</definedName>
    <definedName name="KP_KP" localSheetId="3">OFFSET(#REF!,0,0,1,#REF!)</definedName>
    <definedName name="KP_KP" localSheetId="7">OFFSET(#REF!,0,0,1,#REF!)</definedName>
    <definedName name="KP_KP" localSheetId="8">OFFSET(#REF!,0,0,1,#REF!)</definedName>
    <definedName name="KP_KP" localSheetId="2">OFFSET(#REF!,0,0,1,#REF!)</definedName>
    <definedName name="KP_KP">OFFSET(#REF!,0,0,1,#REF!)</definedName>
    <definedName name="KUHJKU">'[2]TABLA-VENTAS'!$A$3:$D$400</definedName>
    <definedName name="KUYHJ">'[2]TABLA-VENTAS'!$A$3:$D$400</definedName>
    <definedName name="KUYRDE" localSheetId="4">#REF!</definedName>
    <definedName name="KUYRDE" localSheetId="0">#REF!</definedName>
    <definedName name="KUYRDE" localSheetId="3">#REF!</definedName>
    <definedName name="KUYRDE" localSheetId="7">#REF!</definedName>
    <definedName name="KUYRDE" localSheetId="8">#REF!</definedName>
    <definedName name="KUYRDE" localSheetId="2">#REF!</definedName>
    <definedName name="KUYRDE">#REF!</definedName>
    <definedName name="l">'[3]TABLA-VENTAS'!$A$3:$D$400</definedName>
    <definedName name="lij">[1]TABLA_VENTAS!$A$3:$D$400</definedName>
    <definedName name="lijm" localSheetId="0">[4]TABLA_VENTAS!$A$3:$D$400</definedName>
    <definedName name="lijm" localSheetId="7">[5]TABLA_VENTAS!$A$3:$D$400</definedName>
    <definedName name="lijm" localSheetId="8">[6]TABLA_VENTAS!$A$3:$D$400</definedName>
    <definedName name="lijm">[7]TABLA_VENTAS!$A$3:$D$400</definedName>
    <definedName name="lik" localSheetId="4">#REF!</definedName>
    <definedName name="lik" localSheetId="0">#REF!</definedName>
    <definedName name="lik" localSheetId="3">#REF!</definedName>
    <definedName name="lik" localSheetId="7">#REF!</definedName>
    <definedName name="lik" localSheetId="8">#REF!</definedName>
    <definedName name="lik" localSheetId="2">#REF!</definedName>
    <definedName name="lik">#REF!</definedName>
    <definedName name="LIKJYU" localSheetId="4">#REF!</definedName>
    <definedName name="LIKJYU" localSheetId="0">#REF!</definedName>
    <definedName name="LIKJYU" localSheetId="3">#REF!</definedName>
    <definedName name="LIKJYU" localSheetId="7">#REF!</definedName>
    <definedName name="LIKJYU" localSheetId="8">#REF!</definedName>
    <definedName name="LIKJYU" localSheetId="2">#REF!</definedName>
    <definedName name="LIKJYU">#REF!</definedName>
    <definedName name="LINA">[1]TABLA_VENTAS!$A$3:$D$400</definedName>
    <definedName name="LISTA_SUCURSAL" localSheetId="7">[60]Tarifas!#REF!</definedName>
    <definedName name="LISTA_SUCURSAL" localSheetId="8">[61]Tarifas!#REF!</definedName>
    <definedName name="LISTA_SUCURSAL">[62]Tarifas!#REF!</definedName>
    <definedName name="LISTA_TIPO" localSheetId="7">[60]Tarifas!#REF!</definedName>
    <definedName name="LISTA_TIPO" localSheetId="8">[61]Tarifas!#REF!</definedName>
    <definedName name="LISTA_TIPO">[62]Tarifas!#REF!</definedName>
    <definedName name="ljkh">[12]TABLA_VENTAS!$A$3:$D$400</definedName>
    <definedName name="ljok" localSheetId="4">#REF!</definedName>
    <definedName name="ljok" localSheetId="0">#REF!</definedName>
    <definedName name="ljok" localSheetId="3">#REF!</definedName>
    <definedName name="ljok" localSheetId="7">#REF!</definedName>
    <definedName name="ljok" localSheetId="8">#REF!</definedName>
    <definedName name="ljok" localSheetId="2">#REF!</definedName>
    <definedName name="ljok">#REF!</definedName>
    <definedName name="LK">'[3]TABLA-VENTAS'!$A$3:$D$400</definedName>
    <definedName name="LKIUJ" localSheetId="4">#REF!</definedName>
    <definedName name="LKIUJ" localSheetId="0">#REF!</definedName>
    <definedName name="LKIUJ" localSheetId="3">#REF!</definedName>
    <definedName name="LKIUJ" localSheetId="7">#REF!</definedName>
    <definedName name="LKIUJ" localSheetId="8">#REF!</definedName>
    <definedName name="LKIUJ" localSheetId="2">#REF!</definedName>
    <definedName name="LKIUJ">#REF!</definedName>
    <definedName name="LKJH" localSheetId="4">#REF!</definedName>
    <definedName name="LKJH" localSheetId="0">#REF!</definedName>
    <definedName name="LKJH" localSheetId="3">#REF!</definedName>
    <definedName name="LKJH" localSheetId="7">#REF!</definedName>
    <definedName name="LKJH" localSheetId="8">#REF!</definedName>
    <definedName name="LKJH" localSheetId="2">#REF!</definedName>
    <definedName name="LKJH">#REF!</definedName>
    <definedName name="LKJI">[1]TABLA_VENTAS!$A$3:$D$400</definedName>
    <definedName name="LKJMN">'[2]TABLA-VENTAS'!$A$3:$D$400</definedName>
    <definedName name="LKJU" localSheetId="4">#REF!</definedName>
    <definedName name="LKJU" localSheetId="0">#REF!</definedName>
    <definedName name="LKJU" localSheetId="3">#REF!</definedName>
    <definedName name="LKJU" localSheetId="7">#REF!</definedName>
    <definedName name="LKJU" localSheetId="8">#REF!</definedName>
    <definedName name="LKJU" localSheetId="2">#REF!</definedName>
    <definedName name="LKJU">#REF!</definedName>
    <definedName name="LLKJ">[1]TABLA_VENTAS!$A$3:$D$400</definedName>
    <definedName name="LMJ">[1]TABLA_VENTAS!$A$3:$D$400</definedName>
    <definedName name="LMNBG" localSheetId="4">#REF!</definedName>
    <definedName name="LMNBG" localSheetId="0">#REF!</definedName>
    <definedName name="LMNBG" localSheetId="3">#REF!</definedName>
    <definedName name="LMNBG" localSheetId="7">#REF!</definedName>
    <definedName name="LMNBG" localSheetId="8">#REF!</definedName>
    <definedName name="LMNBG" localSheetId="2">#REF!</definedName>
    <definedName name="LMNBG">#REF!</definedName>
    <definedName name="LÑM" localSheetId="4">#REF!</definedName>
    <definedName name="LÑM" localSheetId="0">#REF!</definedName>
    <definedName name="LÑM" localSheetId="3">#REF!</definedName>
    <definedName name="LÑM" localSheetId="7">#REF!</definedName>
    <definedName name="LÑM" localSheetId="8">#REF!</definedName>
    <definedName name="LÑM" localSheetId="2">#REF!</definedName>
    <definedName name="LÑM">#REF!</definedName>
    <definedName name="LÑPO" localSheetId="4">#REF!</definedName>
    <definedName name="LÑPO" localSheetId="0">#REF!</definedName>
    <definedName name="LÑPO" localSheetId="3">#REF!</definedName>
    <definedName name="LÑPO" localSheetId="7">#REF!</definedName>
    <definedName name="LÑPO" localSheetId="8">#REF!</definedName>
    <definedName name="LÑPO" localSheetId="2">#REF!</definedName>
    <definedName name="LÑPO">#REF!</definedName>
    <definedName name="LO">[1]TABLA_VENTAS!$A$3:$D$400</definedName>
    <definedName name="LOCA">[1]TABLA_VENTAS!$A$3:$D$400</definedName>
    <definedName name="LOFV">[1]TABLA_VENTAS!$A$3:$D$400</definedName>
    <definedName name="LOIU" localSheetId="4">#REF!</definedName>
    <definedName name="LOIU" localSheetId="0">#REF!</definedName>
    <definedName name="LOIU" localSheetId="3">#REF!</definedName>
    <definedName name="LOIU" localSheetId="7">#REF!</definedName>
    <definedName name="LOIU" localSheetId="8">#REF!</definedName>
    <definedName name="LOIU" localSheetId="2">#REF!</definedName>
    <definedName name="LOIU">#REF!</definedName>
    <definedName name="LOK">[1]TABLA_VENTAS!$A$3:$D$400</definedName>
    <definedName name="LOLA">[1]TABLA_VENTAS!$A$3:$D$400</definedName>
    <definedName name="LOP">[1]TABLA_VENTAS!$A$3:$D$400</definedName>
    <definedName name="LOPERSA">[1]TABLA_VENTAS!$A$3:$D$400</definedName>
    <definedName name="LOPÑ" localSheetId="4">#REF!</definedName>
    <definedName name="LOPÑ" localSheetId="0">#REF!</definedName>
    <definedName name="LOPÑ" localSheetId="3">#REF!</definedName>
    <definedName name="LOPÑ" localSheetId="7">#REF!</definedName>
    <definedName name="LOPÑ" localSheetId="8">#REF!</definedName>
    <definedName name="LOPÑ" localSheetId="2">#REF!</definedName>
    <definedName name="LOPÑ">#REF!</definedName>
    <definedName name="LOS">[1]TABLA_VENTAS!$A$3:$D$400</definedName>
    <definedName name="LPWSD" localSheetId="4">#REF!</definedName>
    <definedName name="LPWSD" localSheetId="0">#REF!</definedName>
    <definedName name="LPWSD" localSheetId="3">#REF!</definedName>
    <definedName name="LPWSD" localSheetId="7">#REF!</definedName>
    <definedName name="LPWSD" localSheetId="8">#REF!</definedName>
    <definedName name="LPWSD" localSheetId="2">#REF!</definedName>
    <definedName name="LPWSD">#REF!</definedName>
    <definedName name="LSIA">[1]TABLA_VENTAS!$A$3:$D$400</definedName>
    <definedName name="luchito" localSheetId="0">[23]TABLA_VENTAS!$A$3:$D$400</definedName>
    <definedName name="luchito" localSheetId="7">[24]TABLA_VENTAS!$A$3:$D$400</definedName>
    <definedName name="luchito" localSheetId="8">[25]TABLA_VENTAS!$A$3:$D$400</definedName>
    <definedName name="luchito">[26]TABLA_VENTAS!$A$3:$D$400</definedName>
    <definedName name="LUNES" localSheetId="4">#REF!</definedName>
    <definedName name="LUNES" localSheetId="0">#REF!</definedName>
    <definedName name="LUNES" localSheetId="3">#REF!</definedName>
    <definedName name="LUNES" localSheetId="7">#REF!</definedName>
    <definedName name="LUNES" localSheetId="8">#REF!</definedName>
    <definedName name="LUNES" localSheetId="2">#REF!</definedName>
    <definedName name="LUNES">#REF!</definedName>
    <definedName name="MAO">[1]TABLA_VENTAS!$A$3:$D$400</definedName>
    <definedName name="MARCA" localSheetId="7">[63]Bd!#REF!</definedName>
    <definedName name="MARCA" localSheetId="8">[64]Bd!#REF!</definedName>
    <definedName name="MARCA">[65]Bd!#REF!</definedName>
    <definedName name="marthica" localSheetId="0">[27]TABLA_VENTAS!$A$3:$D$400</definedName>
    <definedName name="marthica" localSheetId="7">[28]TABLA_VENTAS!$A$3:$D$400</definedName>
    <definedName name="marthica" localSheetId="8">[29]TABLA_VENTAS!$A$3:$D$400</definedName>
    <definedName name="marthica">[30]TABLA_VENTAS!$A$3:$D$400</definedName>
    <definedName name="MERCURIO">[1]TABLA_VENTAS!$A$3:$D$400</definedName>
    <definedName name="MES" localSheetId="7">[63]Bd!$M$6:$M$17</definedName>
    <definedName name="MES" localSheetId="8">[64]Bd!$M$6:$M$17</definedName>
    <definedName name="MES">[65]Bd!$M$6:$M$17</definedName>
    <definedName name="mibo">[1]TABLA_VENTAS!$A$3:$D$400</definedName>
    <definedName name="MIO">[1]TABLA_VENTAS!$A$3:$D$400</definedName>
    <definedName name="mkax">[1]TABLA_VENTAS!$A$3:$D$400</definedName>
    <definedName name="MKJHBN" localSheetId="4">#REF!</definedName>
    <definedName name="MKJHBN" localSheetId="0">#REF!</definedName>
    <definedName name="MKJHBN" localSheetId="3">#REF!</definedName>
    <definedName name="MKJHBN" localSheetId="7">#REF!</definedName>
    <definedName name="MKJHBN" localSheetId="8">#REF!</definedName>
    <definedName name="MKJHBN" localSheetId="2">#REF!</definedName>
    <definedName name="MKJHBN">#REF!</definedName>
    <definedName name="MKJHN" localSheetId="4">#REF!</definedName>
    <definedName name="MKJHN" localSheetId="0">#REF!</definedName>
    <definedName name="MKJHN" localSheetId="3">#REF!</definedName>
    <definedName name="MKJHN" localSheetId="7">#REF!</definedName>
    <definedName name="MKJHN" localSheetId="8">#REF!</definedName>
    <definedName name="MKJHN" localSheetId="2">#REF!</definedName>
    <definedName name="MKJHN">#REF!</definedName>
    <definedName name="MKJL" localSheetId="4">#REF!</definedName>
    <definedName name="MKJL" localSheetId="0">#REF!</definedName>
    <definedName name="MKJL" localSheetId="3">#REF!</definedName>
    <definedName name="MKJL" localSheetId="7">#REF!</definedName>
    <definedName name="MKJL" localSheetId="8">#REF!</definedName>
    <definedName name="MKJL" localSheetId="2">#REF!</definedName>
    <definedName name="MKJL">#REF!</definedName>
    <definedName name="ml">[1]TABLA_VENTAS!$A$3:$D$400</definedName>
    <definedName name="mlkji">[1]TABLA_VENTAS!$A$3:$D$400</definedName>
    <definedName name="MLÑ" localSheetId="4">#REF!</definedName>
    <definedName name="MLÑ" localSheetId="0">#REF!</definedName>
    <definedName name="MLÑ" localSheetId="3">#REF!</definedName>
    <definedName name="MLÑ" localSheetId="7">#REF!</definedName>
    <definedName name="MLÑ" localSheetId="8">#REF!</definedName>
    <definedName name="MLÑ" localSheetId="2">#REF!</definedName>
    <definedName name="MLÑ">#REF!</definedName>
    <definedName name="MN">'[3]TABLA-VENTAS'!$A$3:$D$400</definedName>
    <definedName name="mnbh" localSheetId="4">#REF!</definedName>
    <definedName name="mnbh" localSheetId="0">#REF!</definedName>
    <definedName name="mnbh" localSheetId="3">#REF!</definedName>
    <definedName name="mnbh" localSheetId="7">#REF!</definedName>
    <definedName name="mnbh" localSheetId="8">#REF!</definedName>
    <definedName name="mnbh" localSheetId="2">#REF!</definedName>
    <definedName name="mnbh">#REF!</definedName>
    <definedName name="MNHBG" localSheetId="4">#REF!</definedName>
    <definedName name="MNHBG" localSheetId="0">#REF!</definedName>
    <definedName name="MNHBG" localSheetId="3">#REF!</definedName>
    <definedName name="MNHBG" localSheetId="7">#REF!</definedName>
    <definedName name="MNHBG" localSheetId="8">#REF!</definedName>
    <definedName name="MNHBG" localSheetId="2">#REF!</definedName>
    <definedName name="MNHBG">#REF!</definedName>
    <definedName name="NATTA" localSheetId="0">[4]TABLA_VENTAS!$A$3:$D$400</definedName>
    <definedName name="NATTA" localSheetId="7">[5]TABLA_VENTAS!$A$3:$D$400</definedName>
    <definedName name="NATTA" localSheetId="8">[6]TABLA_VENTAS!$A$3:$D$400</definedName>
    <definedName name="NATTA">[7]TABLA_VENTAS!$A$3:$D$400</definedName>
    <definedName name="NBGTRE" localSheetId="4">#REF!</definedName>
    <definedName name="NBGTRE" localSheetId="0">#REF!</definedName>
    <definedName name="NBGTRE" localSheetId="3">#REF!</definedName>
    <definedName name="NBGTRE" localSheetId="7">#REF!</definedName>
    <definedName name="NBGTRE" localSheetId="8">#REF!</definedName>
    <definedName name="NBGTRE" localSheetId="2">#REF!</definedName>
    <definedName name="NBGTRE">#REF!</definedName>
    <definedName name="NBM" localSheetId="4">#REF!</definedName>
    <definedName name="NBM" localSheetId="0">#REF!</definedName>
    <definedName name="NBM" localSheetId="3">#REF!</definedName>
    <definedName name="NBM" localSheetId="7">#REF!</definedName>
    <definedName name="NBM" localSheetId="8">#REF!</definedName>
    <definedName name="NBM" localSheetId="2">#REF!</definedName>
    <definedName name="NBM">#REF!</definedName>
    <definedName name="NBVC" localSheetId="4">#REF!</definedName>
    <definedName name="NBVC" localSheetId="0">#REF!</definedName>
    <definedName name="NBVC" localSheetId="3">#REF!</definedName>
    <definedName name="NBVC" localSheetId="7">#REF!</definedName>
    <definedName name="NBVC" localSheetId="8">#REF!</definedName>
    <definedName name="NBVC" localSheetId="2">#REF!</definedName>
    <definedName name="NBVC">#REF!</definedName>
    <definedName name="NBVGH" localSheetId="4">#REF!</definedName>
    <definedName name="NBVGH" localSheetId="0">#REF!</definedName>
    <definedName name="NBVGH" localSheetId="3">#REF!</definedName>
    <definedName name="NBVGH" localSheetId="7">#REF!</definedName>
    <definedName name="NBVGH" localSheetId="8">#REF!</definedName>
    <definedName name="NBVGH" localSheetId="2">#REF!</definedName>
    <definedName name="NBVGH">#REF!</definedName>
    <definedName name="NHDJL" localSheetId="0">[27]TABLA_VENTAS!$A$3:$D$400</definedName>
    <definedName name="NHDJL" localSheetId="7">[28]TABLA_VENTAS!$A$3:$D$400</definedName>
    <definedName name="NHDJL" localSheetId="8">[29]TABLA_VENTAS!$A$3:$D$400</definedName>
    <definedName name="NHDJL">[30]TABLA_VENTAS!$A$3:$D$400</definedName>
    <definedName name="NHYUILÑ" localSheetId="4">#REF!</definedName>
    <definedName name="NHYUILÑ" localSheetId="0">#REF!</definedName>
    <definedName name="NHYUILÑ" localSheetId="3">#REF!</definedName>
    <definedName name="NHYUILÑ" localSheetId="7">#REF!</definedName>
    <definedName name="NHYUILÑ" localSheetId="8">#REF!</definedName>
    <definedName name="NHYUILÑ" localSheetId="2">#REF!</definedName>
    <definedName name="NHYUILÑ">#REF!</definedName>
    <definedName name="NJHGB" localSheetId="4">#REF!</definedName>
    <definedName name="NJHGB" localSheetId="0">#REF!</definedName>
    <definedName name="NJHGB" localSheetId="3">#REF!</definedName>
    <definedName name="NJHGB" localSheetId="7">#REF!</definedName>
    <definedName name="NJHGB" localSheetId="8">#REF!</definedName>
    <definedName name="NJHGB" localSheetId="2">#REF!</definedName>
    <definedName name="NJHGB">#REF!</definedName>
    <definedName name="NKO" localSheetId="4">#REF!</definedName>
    <definedName name="NKO" localSheetId="0">#REF!</definedName>
    <definedName name="NKO" localSheetId="3">#REF!</definedName>
    <definedName name="NKO" localSheetId="7">#REF!</definedName>
    <definedName name="NKO" localSheetId="8">#REF!</definedName>
    <definedName name="NKO" localSheetId="2">#REF!</definedName>
    <definedName name="NKO">#REF!</definedName>
    <definedName name="NMJUYH" localSheetId="4">#REF!</definedName>
    <definedName name="NMJUYH" localSheetId="0">#REF!</definedName>
    <definedName name="NMJUYH" localSheetId="3">#REF!</definedName>
    <definedName name="NMJUYH" localSheetId="7">#REF!</definedName>
    <definedName name="NMJUYH" localSheetId="8">#REF!</definedName>
    <definedName name="NMJUYH" localSheetId="2">#REF!</definedName>
    <definedName name="NMJUYH">#REF!</definedName>
    <definedName name="NN" localSheetId="4">#REF!</definedName>
    <definedName name="NN" localSheetId="0">#REF!</definedName>
    <definedName name="NN" localSheetId="3">#REF!</definedName>
    <definedName name="NN" localSheetId="7">#REF!</definedName>
    <definedName name="NN" localSheetId="8">#REF!</definedName>
    <definedName name="NN" localSheetId="2">#REF!</definedName>
    <definedName name="NN">#REF!</definedName>
    <definedName name="notificacion" localSheetId="4">#REF!</definedName>
    <definedName name="notificacion" localSheetId="0">#REF!</definedName>
    <definedName name="notificacion" localSheetId="3">#REF!</definedName>
    <definedName name="notificacion" localSheetId="7">#REF!</definedName>
    <definedName name="notificacion" localSheetId="8">#REF!</definedName>
    <definedName name="notificacion" localSheetId="2">#REF!</definedName>
    <definedName name="notificacion">#REF!</definedName>
    <definedName name="nuevo" localSheetId="4" hidden="1">#REF!</definedName>
    <definedName name="nuevo" localSheetId="3" hidden="1">#REF!</definedName>
    <definedName name="nuevo" localSheetId="8" hidden="1">#REF!</definedName>
    <definedName name="nuevo" localSheetId="2" hidden="1">#REF!</definedName>
    <definedName name="nuevo" hidden="1">#REF!</definedName>
    <definedName name="NUH">[1]TABLA_VENTAS!$A$3:$D$400</definedName>
    <definedName name="ñl">[1]TABLA_VENTAS!$A$3:$D$400</definedName>
    <definedName name="ÑLJU" localSheetId="4">#REF!</definedName>
    <definedName name="ÑLJU" localSheetId="0">#REF!</definedName>
    <definedName name="ÑLJU" localSheetId="3">#REF!</definedName>
    <definedName name="ÑLJU" localSheetId="7">#REF!</definedName>
    <definedName name="ÑLJU" localSheetId="8">#REF!</definedName>
    <definedName name="ÑLJU" localSheetId="2">#REF!</definedName>
    <definedName name="ÑLJU">#REF!</definedName>
    <definedName name="ÑLKHJ" localSheetId="4">#REF!</definedName>
    <definedName name="ÑLKHJ" localSheetId="0">#REF!</definedName>
    <definedName name="ÑLKHJ" localSheetId="3">#REF!</definedName>
    <definedName name="ÑLKHJ" localSheetId="7">#REF!</definedName>
    <definedName name="ÑLKHJ" localSheetId="8">#REF!</definedName>
    <definedName name="ÑLKHJ" localSheetId="2">#REF!</definedName>
    <definedName name="ÑLKHJ">#REF!</definedName>
    <definedName name="ÑLKIOP" localSheetId="4">#REF!</definedName>
    <definedName name="ÑLKIOP" localSheetId="0">#REF!</definedName>
    <definedName name="ÑLKIOP" localSheetId="3">#REF!</definedName>
    <definedName name="ÑLKIOP" localSheetId="7">#REF!</definedName>
    <definedName name="ÑLKIOP" localSheetId="8">#REF!</definedName>
    <definedName name="ÑLKIOP" localSheetId="2">#REF!</definedName>
    <definedName name="ÑLKIOP">#REF!</definedName>
    <definedName name="ÑLKJ" localSheetId="4">#REF!</definedName>
    <definedName name="ÑLKJ" localSheetId="0">#REF!</definedName>
    <definedName name="ÑLKJ" localSheetId="3">#REF!</definedName>
    <definedName name="ÑLKJ" localSheetId="7">#REF!</definedName>
    <definedName name="ÑLKJ" localSheetId="8">#REF!</definedName>
    <definedName name="ÑLKJ" localSheetId="2">#REF!</definedName>
    <definedName name="ÑLKJ">#REF!</definedName>
    <definedName name="ÑLKM" localSheetId="4">#REF!</definedName>
    <definedName name="ÑLKM" localSheetId="0">#REF!</definedName>
    <definedName name="ÑLKM" localSheetId="3">#REF!</definedName>
    <definedName name="ÑLKM" localSheetId="7">#REF!</definedName>
    <definedName name="ÑLKM" localSheetId="8">#REF!</definedName>
    <definedName name="ÑLKM" localSheetId="2">#REF!</definedName>
    <definedName name="ÑLKM">#REF!</definedName>
    <definedName name="ÑLKMJ" localSheetId="4">#REF!</definedName>
    <definedName name="ÑLKMJ" localSheetId="0">#REF!</definedName>
    <definedName name="ÑLKMJ" localSheetId="3">#REF!</definedName>
    <definedName name="ÑLKMJ" localSheetId="7">#REF!</definedName>
    <definedName name="ÑLKMJ" localSheetId="8">#REF!</definedName>
    <definedName name="ÑLKMJ" localSheetId="2">#REF!</definedName>
    <definedName name="ÑLKMJ">#REF!</definedName>
    <definedName name="ÑLKO" localSheetId="4">#REF!</definedName>
    <definedName name="ÑLKO" localSheetId="0">#REF!</definedName>
    <definedName name="ÑLKO" localSheetId="3">#REF!</definedName>
    <definedName name="ÑLKO" localSheetId="7">#REF!</definedName>
    <definedName name="ÑLKO" localSheetId="8">#REF!</definedName>
    <definedName name="ÑLKO" localSheetId="2">#REF!</definedName>
    <definedName name="ÑLKO">#REF!</definedName>
    <definedName name="ÑLKOI" localSheetId="4">#REF!</definedName>
    <definedName name="ÑLKOI" localSheetId="0">#REF!</definedName>
    <definedName name="ÑLKOI" localSheetId="3">#REF!</definedName>
    <definedName name="ÑLKOI" localSheetId="7">#REF!</definedName>
    <definedName name="ÑLKOI" localSheetId="8">#REF!</definedName>
    <definedName name="ÑLKOI" localSheetId="2">#REF!</definedName>
    <definedName name="ÑLKOI">#REF!</definedName>
    <definedName name="ÑLO">[1]TABLA_VENTAS!$A$3:$D$400</definedName>
    <definedName name="ÑLOKIUJ" localSheetId="4">#REF!</definedName>
    <definedName name="ÑLOKIUJ" localSheetId="0">#REF!</definedName>
    <definedName name="ÑLOKIUJ" localSheetId="3">#REF!</definedName>
    <definedName name="ÑLOKIUJ" localSheetId="7">#REF!</definedName>
    <definedName name="ÑLOKIUJ" localSheetId="8">#REF!</definedName>
    <definedName name="ÑLOKIUJ" localSheetId="2">#REF!</definedName>
    <definedName name="ÑLOKIUJ">#REF!</definedName>
    <definedName name="ÑLOP" localSheetId="4">#REF!</definedName>
    <definedName name="ÑLOP" localSheetId="0">#REF!</definedName>
    <definedName name="ÑLOP" localSheetId="3">#REF!</definedName>
    <definedName name="ÑLOP" localSheetId="7">#REF!</definedName>
    <definedName name="ÑLOP" localSheetId="8">#REF!</definedName>
    <definedName name="ÑLOP" localSheetId="2">#REF!</definedName>
    <definedName name="ÑLOP">#REF!</definedName>
    <definedName name="ÑLOPIK" localSheetId="4">#REF!</definedName>
    <definedName name="ÑLOPIK" localSheetId="0">#REF!</definedName>
    <definedName name="ÑLOPIK" localSheetId="3">#REF!</definedName>
    <definedName name="ÑLOPIK" localSheetId="7">#REF!</definedName>
    <definedName name="ÑLOPIK" localSheetId="8">#REF!</definedName>
    <definedName name="ÑLOPIK" localSheetId="2">#REF!</definedName>
    <definedName name="ÑLOPIK">#REF!</definedName>
    <definedName name="ñlpo" localSheetId="4">#REF!</definedName>
    <definedName name="ñlpo" localSheetId="0">#REF!</definedName>
    <definedName name="ñlpo" localSheetId="3">#REF!</definedName>
    <definedName name="ñlpo" localSheetId="7">#REF!</definedName>
    <definedName name="ñlpo" localSheetId="8">#REF!</definedName>
    <definedName name="ñlpo" localSheetId="2">#REF!</definedName>
    <definedName name="ñlpo">#REF!</definedName>
    <definedName name="ÑOKU" localSheetId="4">#REF!</definedName>
    <definedName name="ÑOKU" localSheetId="0">#REF!</definedName>
    <definedName name="ÑOKU" localSheetId="3">#REF!</definedName>
    <definedName name="ÑOKU" localSheetId="7">#REF!</definedName>
    <definedName name="ÑOKU" localSheetId="8">#REF!</definedName>
    <definedName name="ÑOKU" localSheetId="2">#REF!</definedName>
    <definedName name="ÑOKU">#REF!</definedName>
    <definedName name="ÑP">[1]TABLA_VENTAS!$A$3:$D$400</definedName>
    <definedName name="ÑPL">[1]TABLA_VENTAS!$A$3:$D$400</definedName>
    <definedName name="ÑPLO" localSheetId="4">#REF!</definedName>
    <definedName name="ÑPLO" localSheetId="0">#REF!</definedName>
    <definedName name="ÑPLO" localSheetId="3">#REF!</definedName>
    <definedName name="ÑPLO" localSheetId="7">#REF!</definedName>
    <definedName name="ÑPLO" localSheetId="8">#REF!</definedName>
    <definedName name="ÑPLO" localSheetId="2">#REF!</definedName>
    <definedName name="ÑPLO">#REF!</definedName>
    <definedName name="ÑPOLKI" localSheetId="4">#REF!</definedName>
    <definedName name="ÑPOLKI" localSheetId="0">#REF!</definedName>
    <definedName name="ÑPOLKI" localSheetId="3">#REF!</definedName>
    <definedName name="ÑPOLKI" localSheetId="7">#REF!</definedName>
    <definedName name="ÑPOLKI" localSheetId="8">#REF!</definedName>
    <definedName name="ÑPOLKI" localSheetId="2">#REF!</definedName>
    <definedName name="ÑPOLKI">#REF!</definedName>
    <definedName name="ÑPOOLK" localSheetId="4">#REF!</definedName>
    <definedName name="ÑPOOLK" localSheetId="0">#REF!</definedName>
    <definedName name="ÑPOOLK" localSheetId="3">#REF!</definedName>
    <definedName name="ÑPOOLK" localSheetId="7">#REF!</definedName>
    <definedName name="ÑPOOLK" localSheetId="8">#REF!</definedName>
    <definedName name="ÑPOOLK" localSheetId="2">#REF!</definedName>
    <definedName name="ÑPOOLK">#REF!</definedName>
    <definedName name="ÑPWS" localSheetId="4">#REF!</definedName>
    <definedName name="ÑPWS" localSheetId="0">#REF!</definedName>
    <definedName name="ÑPWS" localSheetId="3">#REF!</definedName>
    <definedName name="ÑPWS" localSheetId="7">#REF!</definedName>
    <definedName name="ÑPWS" localSheetId="8">#REF!</definedName>
    <definedName name="ÑPWS" localSheetId="2">#REF!</definedName>
    <definedName name="ÑPWS">#REF!</definedName>
    <definedName name="odel" localSheetId="4">#REF!</definedName>
    <definedName name="odel" localSheetId="0">#REF!</definedName>
    <definedName name="odel" localSheetId="3">#REF!</definedName>
    <definedName name="odel" localSheetId="7">#REF!</definedName>
    <definedName name="odel" localSheetId="8">#REF!</definedName>
    <definedName name="odel" localSheetId="2">#REF!</definedName>
    <definedName name="odel">#REF!</definedName>
    <definedName name="oi">'[3]TABLA-VENTAS'!$A$3:$D$400</definedName>
    <definedName name="OIJ" localSheetId="4">#REF!</definedName>
    <definedName name="OIJ" localSheetId="0">#REF!</definedName>
    <definedName name="OIJ" localSheetId="3">#REF!</definedName>
    <definedName name="OIJ" localSheetId="7">#REF!</definedName>
    <definedName name="OIJ" localSheetId="8">#REF!</definedName>
    <definedName name="OIJ" localSheetId="2">#REF!</definedName>
    <definedName name="OIJ">#REF!</definedName>
    <definedName name="OILK" localSheetId="4">#REF!</definedName>
    <definedName name="OILK" localSheetId="0">#REF!</definedName>
    <definedName name="OILK" localSheetId="3">#REF!</definedName>
    <definedName name="OILK" localSheetId="7">#REF!</definedName>
    <definedName name="OILK" localSheetId="8">#REF!</definedName>
    <definedName name="OILK" localSheetId="2">#REF!</definedName>
    <definedName name="OILK">#REF!</definedName>
    <definedName name="OIUI" localSheetId="4">#REF!</definedName>
    <definedName name="OIUI" localSheetId="0">#REF!</definedName>
    <definedName name="OIUI" localSheetId="3">#REF!</definedName>
    <definedName name="OIUI" localSheetId="7">#REF!</definedName>
    <definedName name="OIUI" localSheetId="8">#REF!</definedName>
    <definedName name="OIUI" localSheetId="2">#REF!</definedName>
    <definedName name="OIUI">#REF!</definedName>
    <definedName name="OIUJH" localSheetId="4">#REF!</definedName>
    <definedName name="OIUJH" localSheetId="0">#REF!</definedName>
    <definedName name="OIUJH" localSheetId="3">#REF!</definedName>
    <definedName name="OIUJH" localSheetId="7">#REF!</definedName>
    <definedName name="OIUJH" localSheetId="8">#REF!</definedName>
    <definedName name="OIUJH" localSheetId="2">#REF!</definedName>
    <definedName name="OIUJH">#REF!</definedName>
    <definedName name="oiujyh" localSheetId="4">#REF!</definedName>
    <definedName name="oiujyh" localSheetId="0">#REF!</definedName>
    <definedName name="oiujyh" localSheetId="3">#REF!</definedName>
    <definedName name="oiujyh" localSheetId="7">#REF!</definedName>
    <definedName name="oiujyh" localSheetId="8">#REF!</definedName>
    <definedName name="oiujyh" localSheetId="2">#REF!</definedName>
    <definedName name="oiujyh">#REF!</definedName>
    <definedName name="OKIJ" localSheetId="4">#REF!</definedName>
    <definedName name="OKIJ" localSheetId="0">#REF!</definedName>
    <definedName name="OKIJ" localSheetId="3">#REF!</definedName>
    <definedName name="OKIJ" localSheetId="7">#REF!</definedName>
    <definedName name="OKIJ" localSheetId="8">#REF!</definedName>
    <definedName name="OKIJ" localSheetId="2">#REF!</definedName>
    <definedName name="OKIJ">#REF!</definedName>
    <definedName name="OLA">[1]TABLA_VENTAS!$A$3:$D$400</definedName>
    <definedName name="OLIMPICA" localSheetId="0">[23]TABLA_VENTAS!$A$3:$D$400</definedName>
    <definedName name="OLIMPICA" localSheetId="7">[24]TABLA_VENTAS!$A$3:$D$400</definedName>
    <definedName name="OLIMPICA" localSheetId="8">[25]TABLA_VENTAS!$A$3:$D$400</definedName>
    <definedName name="OLIMPICA">[26]TABLA_VENTAS!$A$3:$D$400</definedName>
    <definedName name="OLIU" localSheetId="4">#REF!</definedName>
    <definedName name="OLIU" localSheetId="0">#REF!</definedName>
    <definedName name="OLIU" localSheetId="3">#REF!</definedName>
    <definedName name="OLIU" localSheetId="7">#REF!</definedName>
    <definedName name="OLIU" localSheetId="8">#REF!</definedName>
    <definedName name="OLIU" localSheetId="2">#REF!</definedName>
    <definedName name="OLIU">#REF!</definedName>
    <definedName name="OLKI" localSheetId="4">#REF!</definedName>
    <definedName name="OLKI" localSheetId="0">#REF!</definedName>
    <definedName name="OLKI" localSheetId="3">#REF!</definedName>
    <definedName name="OLKI" localSheetId="7">#REF!</definedName>
    <definedName name="OLKI" localSheetId="8">#REF!</definedName>
    <definedName name="OLKI" localSheetId="2">#REF!</definedName>
    <definedName name="OLKI">#REF!</definedName>
    <definedName name="OLKIUJ" localSheetId="4">#REF!</definedName>
    <definedName name="OLKIUJ" localSheetId="0">#REF!</definedName>
    <definedName name="OLKIUJ" localSheetId="3">#REF!</definedName>
    <definedName name="OLKIUJ" localSheetId="7">#REF!</definedName>
    <definedName name="OLKIUJ" localSheetId="8">#REF!</definedName>
    <definedName name="OLKIUJ" localSheetId="2">#REF!</definedName>
    <definedName name="OLKIUJ">#REF!</definedName>
    <definedName name="OLKJUY" localSheetId="4">#REF!</definedName>
    <definedName name="OLKJUY" localSheetId="0">#REF!</definedName>
    <definedName name="OLKJUY" localSheetId="3">#REF!</definedName>
    <definedName name="OLKJUY" localSheetId="7">#REF!</definedName>
    <definedName name="OLKJUY" localSheetId="8">#REF!</definedName>
    <definedName name="OLKJUY" localSheetId="2">#REF!</definedName>
    <definedName name="OLKJUY">#REF!</definedName>
    <definedName name="olñp" localSheetId="4">#REF!</definedName>
    <definedName name="olñp" localSheetId="0">#REF!</definedName>
    <definedName name="olñp" localSheetId="3">#REF!</definedName>
    <definedName name="olñp" localSheetId="7">#REF!</definedName>
    <definedName name="olñp" localSheetId="8">#REF!</definedName>
    <definedName name="olñp" localSheetId="2">#REF!</definedName>
    <definedName name="olñp">#REF!</definedName>
    <definedName name="OLQA" localSheetId="4">#REF!</definedName>
    <definedName name="OLQA" localSheetId="0">#REF!</definedName>
    <definedName name="OLQA" localSheetId="3">#REF!</definedName>
    <definedName name="OLQA" localSheetId="7">#REF!</definedName>
    <definedName name="OLQA" localSheetId="8">#REF!</definedName>
    <definedName name="OLQA" localSheetId="2">#REF!</definedName>
    <definedName name="OLQA">#REF!</definedName>
    <definedName name="OÑPLK">'[2]TABLA-VENTAS'!$A$3:$D$400</definedName>
    <definedName name="OPCIONR" localSheetId="4">#REF!</definedName>
    <definedName name="OPCIONR" localSheetId="0">#REF!</definedName>
    <definedName name="OPCIONR" localSheetId="3">#REF!</definedName>
    <definedName name="OPCIONR" localSheetId="7">#REF!</definedName>
    <definedName name="OPCIONR" localSheetId="8">#REF!</definedName>
    <definedName name="OPCIONR" localSheetId="2">#REF!</definedName>
    <definedName name="OPCIONR">#REF!</definedName>
    <definedName name="OPILK" localSheetId="4">#REF!</definedName>
    <definedName name="OPILK" localSheetId="0">#REF!</definedName>
    <definedName name="OPILK" localSheetId="3">#REF!</definedName>
    <definedName name="OPILK" localSheetId="7">#REF!</definedName>
    <definedName name="OPILK" localSheetId="8">#REF!</definedName>
    <definedName name="OPILK" localSheetId="2">#REF!</definedName>
    <definedName name="OPILK">#REF!</definedName>
    <definedName name="OPÑLIU" localSheetId="4">#REF!</definedName>
    <definedName name="OPÑLIU" localSheetId="0">#REF!</definedName>
    <definedName name="OPÑLIU" localSheetId="3">#REF!</definedName>
    <definedName name="OPÑLIU" localSheetId="7">#REF!</definedName>
    <definedName name="OPÑLIU" localSheetId="8">#REF!</definedName>
    <definedName name="OPÑLIU" localSheetId="2">#REF!</definedName>
    <definedName name="OPÑLIU">#REF!</definedName>
    <definedName name="paisa" localSheetId="0">[27]TABLA_VENTAS!$A$3:$D$400</definedName>
    <definedName name="paisa" localSheetId="7">[28]TABLA_VENTAS!$A$3:$D$400</definedName>
    <definedName name="paisa" localSheetId="8">[29]TABLA_VENTAS!$A$3:$D$400</definedName>
    <definedName name="paisa">[30]TABLA_VENTAS!$A$3:$D$400</definedName>
    <definedName name="PAISAMINATROCHEZ" localSheetId="0">[23]TABLA_VENTAS!$A$3:$D$400</definedName>
    <definedName name="PAISAMINATROCHEZ" localSheetId="7">[24]TABLA_VENTAS!$A$3:$D$400</definedName>
    <definedName name="PAISAMINATROCHEZ" localSheetId="8">[25]TABLA_VENTAS!$A$3:$D$400</definedName>
    <definedName name="PAISAMINATROCHEZ">[26]TABLA_VENTAS!$A$3:$D$400</definedName>
    <definedName name="PAR_Dia" localSheetId="4">OFFSET(#REF!,0,0,1,#REF!)</definedName>
    <definedName name="PAR_Dia" localSheetId="0">OFFSET(#REF!,0,0,1,#REF!)</definedName>
    <definedName name="PAR_Dia" localSheetId="3">OFFSET(#REF!,0,0,1,#REF!)</definedName>
    <definedName name="PAR_Dia" localSheetId="7">OFFSET(#REF!,0,0,1,#REF!)</definedName>
    <definedName name="PAR_Dia" localSheetId="8">OFFSET(#REF!,0,0,1,#REF!)</definedName>
    <definedName name="PAR_Dia" localSheetId="2">OFFSET(#REF!,0,0,1,#REF!)</definedName>
    <definedName name="PAR_Dia">OFFSET(#REF!,0,0,1,#REF!)</definedName>
    <definedName name="PAR_HP" localSheetId="4">OFFSET(#REF!,0,0,1,#REF!)</definedName>
    <definedName name="PAR_HP" localSheetId="0">OFFSET(#REF!,0,0,1,#REF!)</definedName>
    <definedName name="PAR_HP" localSheetId="3">OFFSET(#REF!,0,0,1,#REF!)</definedName>
    <definedName name="PAR_HP" localSheetId="7">OFFSET(#REF!,0,0,1,#REF!)</definedName>
    <definedName name="PAR_HP" localSheetId="8">OFFSET(#REF!,0,0,1,#REF!)</definedName>
    <definedName name="PAR_HP" localSheetId="2">OFFSET(#REF!,0,0,1,#REF!)</definedName>
    <definedName name="PAR_HP">OFFSET(#REF!,0,0,1,#REF!)</definedName>
    <definedName name="PAR_HR" localSheetId="4">OFFSET(#REF!,0,0,1,#REF!)</definedName>
    <definedName name="PAR_HR" localSheetId="0">OFFSET(#REF!,0,0,1,#REF!)</definedName>
    <definedName name="PAR_HR" localSheetId="3">OFFSET(#REF!,0,0,1,#REF!)</definedName>
    <definedName name="PAR_HR" localSheetId="7">OFFSET(#REF!,0,0,1,#REF!)</definedName>
    <definedName name="PAR_HR" localSheetId="8">OFFSET(#REF!,0,0,1,#REF!)</definedName>
    <definedName name="PAR_HR" localSheetId="2">OFFSET(#REF!,0,0,1,#REF!)</definedName>
    <definedName name="PAR_HR">OFFSET(#REF!,0,0,1,#REF!)</definedName>
    <definedName name="parce">[1]TABLA_VENTAS!$A$3:$D$400</definedName>
    <definedName name="PARCERICIMO">[1]TABLA_VENTAS!$A$3:$D$400</definedName>
    <definedName name="pascal">[1]TABLA_VENTAS!$A$3:$D$400</definedName>
    <definedName name="PATRICCIA" localSheetId="0">[4]TABLA_VENTAS!$A$3:$D$400</definedName>
    <definedName name="PATRICCIA" localSheetId="7">[5]TABLA_VENTAS!$A$3:$D$400</definedName>
    <definedName name="PATRICCIA" localSheetId="8">[6]TABLA_VENTAS!$A$3:$D$400</definedName>
    <definedName name="PATRICCIA">[7]TABLA_VENTAS!$A$3:$D$400</definedName>
    <definedName name="PCYN">[1]TABLA_VENTAS!$A$3:$D$400</definedName>
    <definedName name="pedrito" localSheetId="0">[4]TABLA_VENTAS!$A$3:$D$400</definedName>
    <definedName name="pedrito" localSheetId="7">[5]TABLA_VENTAS!$A$3:$D$400</definedName>
    <definedName name="pedrito" localSheetId="8">[6]TABLA_VENTAS!$A$3:$D$400</definedName>
    <definedName name="pedrito">[7]TABLA_VENTAS!$A$3:$D$400</definedName>
    <definedName name="período_seleccionado" localSheetId="4">#REF!</definedName>
    <definedName name="período_seleccionado" localSheetId="0">'Cronog Junio 2026'!$AZ$2</definedName>
    <definedName name="período_seleccionado" localSheetId="3">#REF!</definedName>
    <definedName name="período_seleccionado" localSheetId="7">#REF!</definedName>
    <definedName name="período_seleccionado" localSheetId="8">#REF!</definedName>
    <definedName name="período_seleccionado" localSheetId="2">#REF!</definedName>
    <definedName name="período_seleccionado">#REF!</definedName>
    <definedName name="PeríodoEnPlan" localSheetId="4">#REF!=MEDIAN(#REF!,#REF!,#REF!+#REF!-1)</definedName>
    <definedName name="PeríodoEnPlan" localSheetId="0">'Cronog Junio 2026'!A$5=MEDIAN('Cronog Junio 2026'!A$5,'Cronog Junio 2026'!$M1,'Cronog Junio 2026'!$M1+'Cronog Junio 2026'!$O1-1)</definedName>
    <definedName name="PeríodoEnPlan" localSheetId="3">#REF!=MEDIAN(#REF!,#REF!,#REF!+#REF!-1)</definedName>
    <definedName name="PeríodoEnPlan" localSheetId="7">#REF!=MEDIAN(#REF!,#REF!,#REF!+#REF!-1)</definedName>
    <definedName name="PeríodoEnPlan" localSheetId="8">#REF!=MEDIAN(#REF!,#REF!,#REF!+#REF!-1)</definedName>
    <definedName name="PeríodoEnPlan" localSheetId="2">#REF!=MEDIAN(#REF!,#REF!,#REF!+#REF!-1)</definedName>
    <definedName name="PeríodoEnPlan">#REF!=MEDIAN(#REF!,#REF!,#REF!+#REF!-1)</definedName>
    <definedName name="PeríodoReal" localSheetId="4">#REF!=MEDIAN(#REF!,#REF!,#REF!+#REF!-1)</definedName>
    <definedName name="PeríodoReal" localSheetId="0">'Cronog Junio 2026'!A$5=MEDIAN('Cronog Junio 2026'!A$5,'Cronog Junio 2026'!$P1,'Cronog Junio 2026'!$P1+'Cronog Junio 2026'!#REF!-1)</definedName>
    <definedName name="PeríodoReal" localSheetId="3">#REF!=MEDIAN(#REF!,#REF!,#REF!+#REF!-1)</definedName>
    <definedName name="PeríodoReal" localSheetId="7">#REF!=MEDIAN(#REF!,#REF!,#REF!+#REF!-1)</definedName>
    <definedName name="PeríodoReal" localSheetId="8">#REF!=MEDIAN(#REF!,#REF!,#REF!+#REF!-1)</definedName>
    <definedName name="PeríodoReal" localSheetId="2">#REF!=MEDIAN(#REF!,#REF!,#REF!+#REF!-1)</definedName>
    <definedName name="PeríodoReal">#REF!=MEDIAN(#REF!,#REF!,#REF!+#REF!-1)</definedName>
    <definedName name="piojo" localSheetId="0">[4]TABLA_VENTAS!$A$3:$D$400</definedName>
    <definedName name="piojo" localSheetId="7">[5]TABLA_VENTAS!$A$3:$D$400</definedName>
    <definedName name="piojo" localSheetId="8">[6]TABLA_VENTAS!$A$3:$D$400</definedName>
    <definedName name="piojo">[7]TABLA_VENTAS!$A$3:$D$400</definedName>
    <definedName name="pl">[1]TABLA_VENTAS!$A$3:$D$400</definedName>
    <definedName name="Plan" localSheetId="4">'Consolidado Entregas'!PeríodoEnPlan*(#REF!&gt;0)</definedName>
    <definedName name="Plan" localSheetId="0">'Cronog Junio 2026'!PeríodoEnPlan*('Cronog Junio 2026'!$M1&gt;0)</definedName>
    <definedName name="Plan" localSheetId="3">Datos!PeríodoEnPlan*(#REF!&gt;0)</definedName>
    <definedName name="Plan" localSheetId="7">'Directorio comf+ zon'!PeríodoEnPlan*(#REF!&gt;0)</definedName>
    <definedName name="Plan" localSheetId="8">'Directorio Infraestructura'!PeríodoEnPlan*(#REF!&gt;0)</definedName>
    <definedName name="Plan" localSheetId="2">Entregas!PeríodoEnPlan*(#REF!&gt;0)</definedName>
    <definedName name="Plan" localSheetId="9">PeríodoEnPlan*(#REF!&gt;0)</definedName>
    <definedName name="Plan">PeríodoEnPlan*(#REF!&gt;0)</definedName>
    <definedName name="pli">[1]TABLA_VENTAS!$A$3:$D$400</definedName>
    <definedName name="PLM">[1]TABLA_VENTAS!$A$3:$D$400</definedName>
    <definedName name="PLO">[1]TABLA_VENTAS!$A$3:$D$400</definedName>
    <definedName name="PLOHNU" localSheetId="0">[27]TABLA_VENTAS!$A$3:$D$400</definedName>
    <definedName name="PLOHNU" localSheetId="7">[28]TABLA_VENTAS!$A$3:$D$400</definedName>
    <definedName name="PLOHNU" localSheetId="8">[29]TABLA_VENTAS!$A$3:$D$400</definedName>
    <definedName name="PLOHNU">[30]TABLA_VENTAS!$A$3:$D$400</definedName>
    <definedName name="ploliybt">[1]TABLA_VENTAS!$A$3:$D$400</definedName>
    <definedName name="PÑ09" localSheetId="4">#REF!</definedName>
    <definedName name="PÑ09" localSheetId="0">#REF!</definedName>
    <definedName name="PÑ09" localSheetId="3">#REF!</definedName>
    <definedName name="PÑ09" localSheetId="7">#REF!</definedName>
    <definedName name="PÑ09" localSheetId="8">#REF!</definedName>
    <definedName name="PÑ09" localSheetId="2">#REF!</definedName>
    <definedName name="PÑ09">#REF!</definedName>
    <definedName name="PÑLO" localSheetId="4">#REF!</definedName>
    <definedName name="PÑLO" localSheetId="0">#REF!</definedName>
    <definedName name="PÑLO" localSheetId="3">#REF!</definedName>
    <definedName name="PÑLO" localSheetId="7">#REF!</definedName>
    <definedName name="PÑLO" localSheetId="8">#REF!</definedName>
    <definedName name="PÑLO" localSheetId="2">#REF!</definedName>
    <definedName name="PÑLO">#REF!</definedName>
    <definedName name="PÑLOI" localSheetId="4">#REF!</definedName>
    <definedName name="PÑLOI" localSheetId="0">#REF!</definedName>
    <definedName name="PÑLOI" localSheetId="3">#REF!</definedName>
    <definedName name="PÑLOI" localSheetId="7">#REF!</definedName>
    <definedName name="PÑLOI" localSheetId="8">#REF!</definedName>
    <definedName name="PÑLOI" localSheetId="2">#REF!</definedName>
    <definedName name="PÑLOI">#REF!</definedName>
    <definedName name="PÑLOK" localSheetId="4">#REF!</definedName>
    <definedName name="PÑLOK" localSheetId="0">#REF!</definedName>
    <definedName name="PÑLOK" localSheetId="3">#REF!</definedName>
    <definedName name="PÑLOK" localSheetId="7">#REF!</definedName>
    <definedName name="PÑLOK" localSheetId="8">#REF!</definedName>
    <definedName name="PÑLOK" localSheetId="2">#REF!</definedName>
    <definedName name="PÑLOK">#REF!</definedName>
    <definedName name="PÑOIK" localSheetId="4">#REF!</definedName>
    <definedName name="PÑOIK" localSheetId="0">#REF!</definedName>
    <definedName name="PÑOIK" localSheetId="3">#REF!</definedName>
    <definedName name="PÑOIK" localSheetId="7">#REF!</definedName>
    <definedName name="PÑOIK" localSheetId="8">#REF!</definedName>
    <definedName name="PÑOIK" localSheetId="2">#REF!</definedName>
    <definedName name="PÑOIK">#REF!</definedName>
    <definedName name="pñol" localSheetId="4">#REF!</definedName>
    <definedName name="pñol" localSheetId="0">#REF!</definedName>
    <definedName name="pñol" localSheetId="3">#REF!</definedName>
    <definedName name="pñol" localSheetId="7">#REF!</definedName>
    <definedName name="pñol" localSheetId="8">#REF!</definedName>
    <definedName name="pñol" localSheetId="2">#REF!</definedName>
    <definedName name="pñol">#REF!</definedName>
    <definedName name="po">[1]TABLA_VENTAS!$A$3:$D$400</definedName>
    <definedName name="POIKUJ" localSheetId="4">#REF!</definedName>
    <definedName name="POIKUJ" localSheetId="0">#REF!</definedName>
    <definedName name="POIKUJ" localSheetId="3">#REF!</definedName>
    <definedName name="POIKUJ" localSheetId="7">#REF!</definedName>
    <definedName name="POIKUJ" localSheetId="8">#REF!</definedName>
    <definedName name="POIKUJ" localSheetId="2">#REF!</definedName>
    <definedName name="POIKUJ">#REF!</definedName>
    <definedName name="POIU" localSheetId="4">#REF!</definedName>
    <definedName name="POIU" localSheetId="0">#REF!</definedName>
    <definedName name="POIU" localSheetId="3">#REF!</definedName>
    <definedName name="POIU" localSheetId="7">#REF!</definedName>
    <definedName name="POIU" localSheetId="8">#REF!</definedName>
    <definedName name="POIU" localSheetId="2">#REF!</definedName>
    <definedName name="POIU">#REF!</definedName>
    <definedName name="POIUJ" localSheetId="4">#REF!</definedName>
    <definedName name="POIUJ" localSheetId="0">#REF!</definedName>
    <definedName name="POIUJ" localSheetId="3">#REF!</definedName>
    <definedName name="POIUJ" localSheetId="7">#REF!</definedName>
    <definedName name="POIUJ" localSheetId="8">#REF!</definedName>
    <definedName name="POIUJ" localSheetId="2">#REF!</definedName>
    <definedName name="POIUJ">#REF!</definedName>
    <definedName name="POK" localSheetId="4">#REF!</definedName>
    <definedName name="POK" localSheetId="0">#REF!</definedName>
    <definedName name="POK" localSheetId="3">#REF!</definedName>
    <definedName name="POK" localSheetId="7">#REF!</definedName>
    <definedName name="POK" localSheetId="8">#REF!</definedName>
    <definedName name="POK" localSheetId="2">#REF!</definedName>
    <definedName name="POK">#REF!</definedName>
    <definedName name="POLLISA">[1]TABLA_VENTAS!$A$3:$D$400</definedName>
    <definedName name="POLLOGSS">[1]TABLA_VENTAS!$A$3:$D$400</definedName>
    <definedName name="POLÑ" localSheetId="4">#REF!</definedName>
    <definedName name="POLÑ" localSheetId="0">#REF!</definedName>
    <definedName name="POLÑ" localSheetId="3">#REF!</definedName>
    <definedName name="POLÑ" localSheetId="7">#REF!</definedName>
    <definedName name="POLÑ" localSheetId="8">#REF!</definedName>
    <definedName name="POLÑ" localSheetId="2">#REF!</definedName>
    <definedName name="POLÑ">#REF!</definedName>
    <definedName name="POLÑK" localSheetId="4">#REF!</definedName>
    <definedName name="POLÑK" localSheetId="0">#REF!</definedName>
    <definedName name="POLÑK" localSheetId="3">#REF!</definedName>
    <definedName name="POLÑK" localSheetId="7">#REF!</definedName>
    <definedName name="POLÑK" localSheetId="8">#REF!</definedName>
    <definedName name="POLÑK" localSheetId="2">#REF!</definedName>
    <definedName name="POLÑK">#REF!</definedName>
    <definedName name="PorcentajeCompletado" localSheetId="4">'Consolidado Entregas'!ExcesoPorcentajeCompletado*'Consolidado Entregas'!PeríodoEnPlan</definedName>
    <definedName name="PorcentajeCompletado" localSheetId="0">'Cronog Junio 2026'!ExcesoPorcentajeCompletado*'Cronog Junio 2026'!PeríodoEnPlan</definedName>
    <definedName name="PorcentajeCompletado" localSheetId="3">Datos!ExcesoPorcentajeCompletado*Datos!PeríodoEnPlan</definedName>
    <definedName name="PorcentajeCompletado" localSheetId="7">'Directorio comf+ zon'!ExcesoPorcentajeCompletado*'Directorio comf+ zon'!PeríodoEnPlan</definedName>
    <definedName name="PorcentajeCompletado" localSheetId="8">'Directorio Infraestructura'!ExcesoPorcentajeCompletado*'Directorio Infraestructura'!PeríodoEnPlan</definedName>
    <definedName name="PorcentajeCompletado" localSheetId="2">Entregas!ExcesoPorcentajeCompletado*Entregas!PeríodoEnPlan</definedName>
    <definedName name="PorcentajeCompletado" localSheetId="9">'INSP.EQUIPOS JUNIO'!ExcesoPorcentajeCompletado*PeríodoEnPlan</definedName>
    <definedName name="PorcentajeCompletado">ExcesoPorcentajeCompletado*PeríodoEnPlan</definedName>
    <definedName name="PorcentajeCump">[66]!ExcesoPorcentajeCompletado*'[66]Headcount-1'!PeríodoEnPlan</definedName>
    <definedName name="POUYT" localSheetId="4">#REF!</definedName>
    <definedName name="POUYT" localSheetId="0">#REF!</definedName>
    <definedName name="POUYT" localSheetId="3">#REF!</definedName>
    <definedName name="POUYT" localSheetId="7">#REF!</definedName>
    <definedName name="POUYT" localSheetId="8">#REF!</definedName>
    <definedName name="POUYT" localSheetId="2">#REF!</definedName>
    <definedName name="POUYT">#REF!</definedName>
    <definedName name="PQAJ" localSheetId="4">#REF!</definedName>
    <definedName name="PQAJ" localSheetId="0">#REF!</definedName>
    <definedName name="PQAJ" localSheetId="3">#REF!</definedName>
    <definedName name="PQAJ" localSheetId="7">#REF!</definedName>
    <definedName name="PQAJ" localSheetId="8">#REF!</definedName>
    <definedName name="PQAJ" localSheetId="2">#REF!</definedName>
    <definedName name="PQAJ">#REF!</definedName>
    <definedName name="PRIJKFI" localSheetId="0">[27]TABLA_VENTAS!$A$3:$D$400</definedName>
    <definedName name="PRIJKFI" localSheetId="7">[28]TABLA_VENTAS!$A$3:$D$400</definedName>
    <definedName name="PRIJKFI" localSheetId="8">[29]TABLA_VENTAS!$A$3:$D$400</definedName>
    <definedName name="PRIJKFI">[30]TABLA_VENTAS!$A$3:$D$400</definedName>
    <definedName name="PROLETRADD" localSheetId="0">[4]TABLA_VENTAS!$A$3:$D$400</definedName>
    <definedName name="PROLETRADD" localSheetId="7">[5]TABLA_VENTAS!$A$3:$D$400</definedName>
    <definedName name="PROLETRADD" localSheetId="8">[6]TABLA_VENTAS!$A$3:$D$400</definedName>
    <definedName name="PROLETRADD">[7]TABLA_VENTAS!$A$3:$D$400</definedName>
    <definedName name="qas" localSheetId="4">#REF!</definedName>
    <definedName name="qas" localSheetId="0">#REF!</definedName>
    <definedName name="qas" localSheetId="3">#REF!</definedName>
    <definedName name="qas" localSheetId="7">#REF!</definedName>
    <definedName name="qas" localSheetId="8">#REF!</definedName>
    <definedName name="qas" localSheetId="2">#REF!</definedName>
    <definedName name="qas">#REF!</definedName>
    <definedName name="QCU">[1]TABLA_VENTAS!$A$3:$D$400</definedName>
    <definedName name="QGO" localSheetId="4">#REF!</definedName>
    <definedName name="QGO" localSheetId="0">#REF!</definedName>
    <definedName name="QGO" localSheetId="3">#REF!</definedName>
    <definedName name="QGO" localSheetId="7">#REF!</definedName>
    <definedName name="QGO" localSheetId="8">#REF!</definedName>
    <definedName name="QGO" localSheetId="2">#REF!</definedName>
    <definedName name="QGO">#REF!</definedName>
    <definedName name="QOSA">[1]TABLA_VENTAS!$A$3:$D$400</definedName>
    <definedName name="qsDa">'[2]TABLA-VENTAS'!$A$3:$D$400</definedName>
    <definedName name="qw">[1]TABLA_VENTAS!$A$3:$D$400</definedName>
    <definedName name="QWE">[1]TABLA_VENTAS!$A$3:$D$400</definedName>
    <definedName name="QWQA">'[2]TABLA-VENTAS'!$A$3:$D$400</definedName>
    <definedName name="RANGO" localSheetId="4">#REF!</definedName>
    <definedName name="RANGO" localSheetId="0">#REF!</definedName>
    <definedName name="RANGO" localSheetId="3">#REF!</definedName>
    <definedName name="RANGO" localSheetId="7">#REF!</definedName>
    <definedName name="RANGO" localSheetId="8">#REF!</definedName>
    <definedName name="RANGO" localSheetId="2">#REF!</definedName>
    <definedName name="RANGO">#REF!</definedName>
    <definedName name="Real" localSheetId="4">('Consolidado Entregas'!PeríodoReal*(#REF!&gt;0))*'Consolidado Entregas'!PeríodoEnPlan</definedName>
    <definedName name="Real" localSheetId="0">('Cronog Junio 2026'!PeríodoReal*('Cronog Junio 2026'!$P1&gt;0))*'Cronog Junio 2026'!PeríodoEnPlan</definedName>
    <definedName name="Real" localSheetId="3">(Datos!PeríodoReal*(#REF!&gt;0))*Datos!PeríodoEnPlan</definedName>
    <definedName name="Real" localSheetId="7">('Directorio comf+ zon'!PeríodoReal*(#REF!&gt;0))*'Directorio comf+ zon'!PeríodoEnPlan</definedName>
    <definedName name="Real" localSheetId="8">('Directorio Infraestructura'!PeríodoReal*(#REF!&gt;0))*'Directorio Infraestructura'!PeríodoEnPlan</definedName>
    <definedName name="Real" localSheetId="2">(Entregas!PeríodoReal*(#REF!&gt;0))*Entregas!PeríodoEnPlan</definedName>
    <definedName name="Real" localSheetId="9">(PeríodoReal*(#REF!&gt;0))*PeríodoEnPlan</definedName>
    <definedName name="Real">(PeríodoReal*(#REF!&gt;0))*PeríodoEnPlan</definedName>
    <definedName name="REC">[1]TABLA_VENTAS!$A$3:$D$400</definedName>
    <definedName name="REDFA" localSheetId="0">[27]TABLA_VENTAS!$A$3:$D$400</definedName>
    <definedName name="REDFA" localSheetId="7">[28]TABLA_VENTAS!$A$3:$D$400</definedName>
    <definedName name="REDFA" localSheetId="8">[29]TABLA_VENTAS!$A$3:$D$400</definedName>
    <definedName name="REDFA">[30]TABLA_VENTAS!$A$3:$D$400</definedName>
    <definedName name="REFEQ" localSheetId="0">[19]TABLA_VENTAS!$A$3:$D$400</definedName>
    <definedName name="REFEQ" localSheetId="7">[20]TABLA_VENTAS!$A$3:$D$400</definedName>
    <definedName name="REFEQ" localSheetId="8">[21]TABLA_VENTAS!$A$3:$D$400</definedName>
    <definedName name="REFEQ">[22]TABLA_VENTAS!$A$3:$D$400</definedName>
    <definedName name="refrejdudl" localSheetId="0">[27]TABLA_VENTAS!$A$3:$D$400</definedName>
    <definedName name="refrejdudl" localSheetId="7">[28]TABLA_VENTAS!$A$3:$D$400</definedName>
    <definedName name="refrejdudl" localSheetId="8">[29]TABLA_VENTAS!$A$3:$D$400</definedName>
    <definedName name="refrejdudl">[30]TABLA_VENTAS!$A$3:$D$400</definedName>
    <definedName name="REFRIGERIO">[1]TABLA_VENTAS!$A$3:$D$400</definedName>
    <definedName name="REFS">[1]TABLA_VENTAS!$A$3:$D$400</definedName>
    <definedName name="RESD">'[2]TABLA-VENTAS'!$A$3:$D$400</definedName>
    <definedName name="RETO" localSheetId="0">[19]TABLA_VENTAS!$A$3:$D$400</definedName>
    <definedName name="RETO" localSheetId="7">[20]TABLA_VENTAS!$A$3:$D$400</definedName>
    <definedName name="RETO" localSheetId="8">[21]TABLA_VENTAS!$A$3:$D$400</definedName>
    <definedName name="RETO">[22]TABLA_VENTAS!$A$3:$D$400</definedName>
    <definedName name="RETOS">[1]TABLA_VENTAS!$A$3:$D$400</definedName>
    <definedName name="REWFD">[1]TABLA_VENTAS!$A$3:$D$400</definedName>
    <definedName name="RFDE" localSheetId="4">#REF!</definedName>
    <definedName name="RFDE" localSheetId="0">#REF!</definedName>
    <definedName name="RFDE" localSheetId="3">#REF!</definedName>
    <definedName name="RFDE" localSheetId="7">#REF!</definedName>
    <definedName name="RFDE" localSheetId="8">#REF!</definedName>
    <definedName name="RFDE" localSheetId="2">#REF!</definedName>
    <definedName name="RFDE">#REF!</definedName>
    <definedName name="rfdec" localSheetId="4">#REF!</definedName>
    <definedName name="rfdec" localSheetId="0">#REF!</definedName>
    <definedName name="rfdec" localSheetId="3">#REF!</definedName>
    <definedName name="rfdec" localSheetId="7">#REF!</definedName>
    <definedName name="rfdec" localSheetId="8">#REF!</definedName>
    <definedName name="rfdec" localSheetId="2">#REF!</definedName>
    <definedName name="rfdec">#REF!</definedName>
    <definedName name="RNXI">[1]TABLA_VENTAS!$A$3:$D$400</definedName>
    <definedName name="ROGANOVICH">[1]TABLA_VENTAS!$A$3:$D$400</definedName>
    <definedName name="RTEBS" localSheetId="0">[27]TABLA_VENTAS!$A$3:$D$400</definedName>
    <definedName name="RTEBS" localSheetId="7">[28]TABLA_VENTAS!$A$3:$D$400</definedName>
    <definedName name="RTEBS" localSheetId="8">[29]TABLA_VENTAS!$A$3:$D$400</definedName>
    <definedName name="RTEBS">[30]TABLA_VENTAS!$A$3:$D$400</definedName>
    <definedName name="rtrtg">[1]TABLA_VENTAS!$A$3:$D$400</definedName>
    <definedName name="rtwretrt">'[3]TABLA-VENTAS'!$A$3:$D$400</definedName>
    <definedName name="RTY" localSheetId="4">#REF!</definedName>
    <definedName name="RTY" localSheetId="0">#REF!</definedName>
    <definedName name="RTY" localSheetId="3">#REF!</definedName>
    <definedName name="RTY" localSheetId="7">#REF!</definedName>
    <definedName name="RTY" localSheetId="8">#REF!</definedName>
    <definedName name="RTY" localSheetId="2">#REF!</definedName>
    <definedName name="RTY">#REF!</definedName>
    <definedName name="RWERW">'[3]TABLA-VENTAS'!$A$3:$D$400</definedName>
    <definedName name="SAass">'[2]TABLA-VENTAS'!$A$3:$D$400</definedName>
    <definedName name="SADasa">'[2]TABLA-VENTAS'!$A$3:$D$400</definedName>
    <definedName name="SADEAS">[1]TABLA_VENTAS!$A$3:$D$400</definedName>
    <definedName name="SADEASQWED">[1]TABLA_VENTAS!$A$3:$D$400</definedName>
    <definedName name="SADF">'[3]TABLA-VENTAS'!$A$3:$D$400</definedName>
    <definedName name="SAEF">[1]TABLA_VENTAS!$A$3:$D$400</definedName>
    <definedName name="SAFE">[1]TABLA_VENTAS!$A$3:$D$400</definedName>
    <definedName name="SAKI">[1]TABLA_VENTAS!$A$3:$D$400</definedName>
    <definedName name="SAQa">'[2]TABLA-VENTAS'!$A$3:$D$400</definedName>
    <definedName name="SAQO">[1]TABLA_VENTAS!$A$3:$D$400</definedName>
    <definedName name="SAs" localSheetId="4">#REF!</definedName>
    <definedName name="SAs" localSheetId="0">#REF!</definedName>
    <definedName name="SAs" localSheetId="3">#REF!</definedName>
    <definedName name="SAs" localSheetId="7">#REF!</definedName>
    <definedName name="SAs" localSheetId="8">#REF!</definedName>
    <definedName name="SAs" localSheetId="2">#REF!</definedName>
    <definedName name="SAs">#REF!</definedName>
    <definedName name="SAsASA">'[3]TABLA-VENTAS'!$A$3:$D$400</definedName>
    <definedName name="SAVER">[1]TABLA_VENTAS!$A$3:$D$400</definedName>
    <definedName name="SAZDESD">[1]TABLA_VENTAS!$A$3:$D$400</definedName>
    <definedName name="SCUM">[1]TABLA_VENTAS!$A$3:$D$400</definedName>
    <definedName name="sdad">[1]TABLA_VENTAS!$A$3:$D$400</definedName>
    <definedName name="SDADs">'[2]TABLA-VENTAS'!$A$3:$D$400</definedName>
    <definedName name="SDasd">'[2]TABLA-VENTAS'!$A$3:$D$400</definedName>
    <definedName name="sdcsad">'[3]TABLA-VENTAS'!$A$3:$D$400</definedName>
    <definedName name="SDDE">[1]TABLA_VENTAS!$A$3:$D$400</definedName>
    <definedName name="SDDEF">[1]TABLA_VENTAS!$A$3:$D$400</definedName>
    <definedName name="SDER">[1]TABLA_VENTAS!$A$3:$D$400</definedName>
    <definedName name="sdersd" localSheetId="4">#REF!</definedName>
    <definedName name="sdersd" localSheetId="0">#REF!</definedName>
    <definedName name="sdersd" localSheetId="3">#REF!</definedName>
    <definedName name="sdersd" localSheetId="7">#REF!</definedName>
    <definedName name="sdersd" localSheetId="8">#REF!</definedName>
    <definedName name="sdersd" localSheetId="2">#REF!</definedName>
    <definedName name="sdersd">#REF!</definedName>
    <definedName name="SDF">[1]TABLA_VENTAS!$A$3:$D$400</definedName>
    <definedName name="SDFA">'[3]TABLA-VENTAS'!$A$3:$D$400</definedName>
    <definedName name="SDFASD">'[3]TABLA-VENTAS'!$A$3:$D$400</definedName>
    <definedName name="SDFRE">[1]TABLA_VENTAS!$A$3:$D$400</definedName>
    <definedName name="sdfsdfds">'[3]TABLA-VENTAS'!$A$3:$D$400</definedName>
    <definedName name="SDHJ" localSheetId="4">#REF!</definedName>
    <definedName name="SDHJ" localSheetId="0">#REF!</definedName>
    <definedName name="SDHJ" localSheetId="3">#REF!</definedName>
    <definedName name="SDHJ" localSheetId="7">#REF!</definedName>
    <definedName name="SDHJ" localSheetId="8">#REF!</definedName>
    <definedName name="SDHJ" localSheetId="2">#REF!</definedName>
    <definedName name="SDHJ">#REF!</definedName>
    <definedName name="SDRE">[1]TABLA_VENTAS!$A$3:$D$400</definedName>
    <definedName name="SDREWS">'[2]TABLA-VENTAS'!$A$3:$D$400</definedName>
    <definedName name="sdrf" localSheetId="4">#REF!</definedName>
    <definedName name="sdrf" localSheetId="0">#REF!</definedName>
    <definedName name="sdrf" localSheetId="3">#REF!</definedName>
    <definedName name="sdrf" localSheetId="7">#REF!</definedName>
    <definedName name="sdrf" localSheetId="8">#REF!</definedName>
    <definedName name="sdrf" localSheetId="2">#REF!</definedName>
    <definedName name="sdrf">#REF!</definedName>
    <definedName name="SDSA">[1]TABLA_VENTAS!$A$3:$D$400</definedName>
    <definedName name="SDSAC">[1]TABLA_VENTAS!$A$3:$D$400</definedName>
    <definedName name="sdsadsa">'[3]TABLA-VENTAS'!$A$3:$D$400</definedName>
    <definedName name="SDSASA">'[2]TABLA-VENTAS'!$A$3:$D$400</definedName>
    <definedName name="sdsd">'[3]TABLA-VENTAS'!$A$3:$D$400</definedName>
    <definedName name="SDWW">'[2]TABLA-VENTAS'!$A$3:$D$400</definedName>
    <definedName name="SEDF" localSheetId="4">#REF!</definedName>
    <definedName name="SEDF" localSheetId="0">#REF!</definedName>
    <definedName name="SEDF" localSheetId="3">#REF!</definedName>
    <definedName name="SEDF" localSheetId="7">#REF!</definedName>
    <definedName name="SEDF" localSheetId="8">#REF!</definedName>
    <definedName name="SEDF" localSheetId="2">#REF!</definedName>
    <definedName name="SEDF">#REF!</definedName>
    <definedName name="SEFA">[1]TABLA_VENTAS!$A$3:$D$400</definedName>
    <definedName name="semaj" localSheetId="0">[27]TABLA_VENTAS!$A$3:$D$400</definedName>
    <definedName name="semaj" localSheetId="7">[28]TABLA_VENTAS!$A$3:$D$400</definedName>
    <definedName name="semaj" localSheetId="8">[29]TABLA_VENTAS!$A$3:$D$400</definedName>
    <definedName name="semaj">[30]TABLA_VENTAS!$A$3:$D$400</definedName>
    <definedName name="SERF">[1]TABLA_VENTAS!$A$3:$D$400</definedName>
    <definedName name="SERSDA">'[2]TABLA-VENTAS'!$A$3:$D$400</definedName>
    <definedName name="sewaf">'[2]TABLA-VENTAS'!$A$3:$D$400</definedName>
    <definedName name="SFDESF">'[2]TABLA-VENTAS'!$A$3:$D$400</definedName>
    <definedName name="sfdw">[1]TABLA_VENTAS!$A$3:$D$400</definedName>
    <definedName name="SICIALIZAR">[1]TABLA_VENTAS!$A$3:$D$400</definedName>
    <definedName name="SKH" localSheetId="4">#REF!</definedName>
    <definedName name="SKH" localSheetId="0">#REF!</definedName>
    <definedName name="SKH" localSheetId="3">#REF!</definedName>
    <definedName name="SKH" localSheetId="7">#REF!</definedName>
    <definedName name="SKH" localSheetId="8">#REF!</definedName>
    <definedName name="SKH" localSheetId="2">#REF!</definedName>
    <definedName name="SKH">#REF!</definedName>
    <definedName name="SOBRECUPO" localSheetId="0">[15]TABLA_VENTAS!$A$3:$D$400</definedName>
    <definedName name="SOBRECUPO" localSheetId="7">[16]TABLA_VENTAS!$A$3:$D$400</definedName>
    <definedName name="SOBRECUPO" localSheetId="8">[17]TABLA_VENTAS!$A$3:$D$400</definedName>
    <definedName name="SOBRECUPO">[18]TABLA_VENTAS!$A$3:$D$400</definedName>
    <definedName name="SOCIO">[1]TABLA_VENTAS!$A$3:$D$400</definedName>
    <definedName name="SOCIOLOGO">[1]TABLA_VENTAS!$A$3:$D$400</definedName>
    <definedName name="SORE">[1]TABLA_VENTAS!$A$3:$D$400</definedName>
    <definedName name="SORROM">[1]TABLA_VENTAS!$A$3:$D$400</definedName>
    <definedName name="sqASS">'[2]TABLA-VENTAS'!$A$3:$D$400</definedName>
    <definedName name="sqDS">'[2]TABLA-VENTAS'!$A$3:$D$400</definedName>
    <definedName name="sqws">[12]TABLA_VENTAS!$A$3:$D$400</definedName>
    <definedName name="SqwSA">'[2]TABLA-VENTAS'!$A$3:$D$400</definedName>
    <definedName name="SRTEGS">'[2]TABLA-VENTAS'!$A$3:$D$400</definedName>
    <definedName name="sSEW">'[2]TABLA-VENTAS'!$A$3:$D$400</definedName>
    <definedName name="superbien" localSheetId="0">[27]TABLA_VENTAS!$A$3:$D$400</definedName>
    <definedName name="superbien" localSheetId="7">[28]TABLA_VENTAS!$A$3:$D$400</definedName>
    <definedName name="superbien" localSheetId="8">[29]TABLA_VENTAS!$A$3:$D$400</definedName>
    <definedName name="superbien">[30]TABLA_VENTAS!$A$3:$D$400</definedName>
    <definedName name="SUPERGENIAL" localSheetId="0">[27]TABLA_VENTAS!$A$3:$D$400</definedName>
    <definedName name="SUPERGENIAL" localSheetId="7">[28]TABLA_VENTAS!$A$3:$D$400</definedName>
    <definedName name="SUPERGENIAL" localSheetId="8">[29]TABLA_VENTAS!$A$3:$D$400</definedName>
    <definedName name="SUPERGENIAL">[30]TABLA_VENTAS!$A$3:$D$400</definedName>
    <definedName name="SUPERSABADO" localSheetId="0">[27]TABLA_VENTAS!$A$3:$D$400</definedName>
    <definedName name="SUPERSABADO" localSheetId="7">[28]TABLA_VENTAS!$A$3:$D$400</definedName>
    <definedName name="SUPERSABADO" localSheetId="8">[29]TABLA_VENTAS!$A$3:$D$400</definedName>
    <definedName name="SUPERSABADO">[30]TABLA_VENTAS!$A$3:$D$400</definedName>
    <definedName name="SW">[1]TABLA_VENTAS!$A$3:$D$400</definedName>
    <definedName name="swaaa">'[2]TABLA-VENTAS'!$A$3:$D$400</definedName>
    <definedName name="SWDAS">'[2]TABLA-VENTAS'!$A$3:$D$400</definedName>
    <definedName name="sweS">'[2]TABLA-VENTAS'!$A$3:$D$400</definedName>
    <definedName name="SXC" localSheetId="4">#REF!</definedName>
    <definedName name="SXC" localSheetId="0">#REF!</definedName>
    <definedName name="SXC" localSheetId="3">#REF!</definedName>
    <definedName name="SXC" localSheetId="7">#REF!</definedName>
    <definedName name="SXC" localSheetId="8">#REF!</definedName>
    <definedName name="SXC" localSheetId="2">#REF!</definedName>
    <definedName name="SXC">#REF!</definedName>
    <definedName name="taborda" localSheetId="0">[27]TABLA_VENTAS!$A$3:$D$400</definedName>
    <definedName name="taborda" localSheetId="7">[28]TABLA_VENTAS!$A$3:$D$400</definedName>
    <definedName name="taborda" localSheetId="8">[29]TABLA_VENTAS!$A$3:$D$400</definedName>
    <definedName name="taborda">[30]TABLA_VENTAS!$A$3:$D$400</definedName>
    <definedName name="TFG">[1]TABLA_VENTAS!$A$3:$D$400</definedName>
    <definedName name="TGBVFR" localSheetId="4">#REF!</definedName>
    <definedName name="TGBVFR" localSheetId="0">#REF!</definedName>
    <definedName name="TGBVFR" localSheetId="3">#REF!</definedName>
    <definedName name="TGBVFR" localSheetId="7">#REF!</definedName>
    <definedName name="TGBVFR" localSheetId="8">#REF!</definedName>
    <definedName name="TGBVFR" localSheetId="2">#REF!</definedName>
    <definedName name="TGBVFR">#REF!</definedName>
    <definedName name="TGFED" localSheetId="4">#REF!</definedName>
    <definedName name="TGFED" localSheetId="0">#REF!</definedName>
    <definedName name="TGFED" localSheetId="3">#REF!</definedName>
    <definedName name="TGFED" localSheetId="7">#REF!</definedName>
    <definedName name="TGFED" localSheetId="8">#REF!</definedName>
    <definedName name="TGFED" localSheetId="2">#REF!</definedName>
    <definedName name="TGFED">#REF!</definedName>
    <definedName name="TGFHU" localSheetId="4">#REF!</definedName>
    <definedName name="TGFHU" localSheetId="0">#REF!</definedName>
    <definedName name="TGFHU" localSheetId="3">#REF!</definedName>
    <definedName name="TGFHU" localSheetId="7">#REF!</definedName>
    <definedName name="TGFHU" localSheetId="8">#REF!</definedName>
    <definedName name="TGFHU" localSheetId="2">#REF!</definedName>
    <definedName name="TGFHU">#REF!</definedName>
    <definedName name="TGFR" localSheetId="4">#REF!</definedName>
    <definedName name="TGFR" localSheetId="0">#REF!</definedName>
    <definedName name="TGFR" localSheetId="3">#REF!</definedName>
    <definedName name="TGFR" localSheetId="7">#REF!</definedName>
    <definedName name="TGFR" localSheetId="8">#REF!</definedName>
    <definedName name="TGFR" localSheetId="2">#REF!</definedName>
    <definedName name="TGFR">#REF!</definedName>
    <definedName name="TGFRYH" localSheetId="4">#REF!</definedName>
    <definedName name="TGFRYH" localSheetId="0">#REF!</definedName>
    <definedName name="TGFRYH" localSheetId="3">#REF!</definedName>
    <definedName name="TGFRYH" localSheetId="7">#REF!</definedName>
    <definedName name="TGFRYH" localSheetId="8">#REF!</definedName>
    <definedName name="TGFRYH" localSheetId="2">#REF!</definedName>
    <definedName name="TGFRYH">#REF!</definedName>
    <definedName name="TGH" localSheetId="4">#REF!</definedName>
    <definedName name="TGH" localSheetId="0">#REF!</definedName>
    <definedName name="TGH" localSheetId="3">#REF!</definedName>
    <definedName name="TGH" localSheetId="7">#REF!</definedName>
    <definedName name="TGH" localSheetId="8">#REF!</definedName>
    <definedName name="TGH" localSheetId="2">#REF!</definedName>
    <definedName name="TGH">#REF!</definedName>
    <definedName name="TGHJ" localSheetId="4">#REF!</definedName>
    <definedName name="TGHJ" localSheetId="0">#REF!</definedName>
    <definedName name="TGHJ" localSheetId="3">#REF!</definedName>
    <definedName name="TGHJ" localSheetId="7">#REF!</definedName>
    <definedName name="TGHJ" localSheetId="8">#REF!</definedName>
    <definedName name="TGHJ" localSheetId="2">#REF!</definedName>
    <definedName name="TGHJ">#REF!</definedName>
    <definedName name="TGHY" localSheetId="4">#REF!</definedName>
    <definedName name="TGHY" localSheetId="0">#REF!</definedName>
    <definedName name="TGHY" localSheetId="3">#REF!</definedName>
    <definedName name="TGHY" localSheetId="7">#REF!</definedName>
    <definedName name="TGHY" localSheetId="8">#REF!</definedName>
    <definedName name="TGHY" localSheetId="2">#REF!</definedName>
    <definedName name="TGHY">#REF!</definedName>
    <definedName name="tghyu" localSheetId="4">#REF!</definedName>
    <definedName name="tghyu" localSheetId="0">#REF!</definedName>
    <definedName name="tghyu" localSheetId="3">#REF!</definedName>
    <definedName name="tghyu" localSheetId="7">#REF!</definedName>
    <definedName name="tghyu" localSheetId="8">#REF!</definedName>
    <definedName name="tghyu" localSheetId="2">#REF!</definedName>
    <definedName name="tghyu">#REF!</definedName>
    <definedName name="TGHYUJ" localSheetId="4">#REF!</definedName>
    <definedName name="TGHYUJ" localSheetId="0">#REF!</definedName>
    <definedName name="TGHYUJ" localSheetId="3">#REF!</definedName>
    <definedName name="TGHYUJ" localSheetId="7">#REF!</definedName>
    <definedName name="TGHYUJ" localSheetId="8">#REF!</definedName>
    <definedName name="TGHYUJ" localSheetId="2">#REF!</definedName>
    <definedName name="TGHYUJ">#REF!</definedName>
    <definedName name="tgyuj" localSheetId="4">#REF!</definedName>
    <definedName name="tgyuj" localSheetId="0">#REF!</definedName>
    <definedName name="tgyuj" localSheetId="3">#REF!</definedName>
    <definedName name="tgyuj" localSheetId="7">#REF!</definedName>
    <definedName name="tgyuj" localSheetId="8">#REF!</definedName>
    <definedName name="tgyuj" localSheetId="2">#REF!</definedName>
    <definedName name="tgyuj">#REF!</definedName>
    <definedName name="TJP" localSheetId="4">#REF!</definedName>
    <definedName name="TJP" localSheetId="0">#REF!</definedName>
    <definedName name="TJP" localSheetId="3">#REF!</definedName>
    <definedName name="TJP" localSheetId="7">#REF!</definedName>
    <definedName name="TJP" localSheetId="8">#REF!</definedName>
    <definedName name="TJP" localSheetId="2">#REF!</definedName>
    <definedName name="TJP">#REF!</definedName>
    <definedName name="tnbji" localSheetId="4">#REF!</definedName>
    <definedName name="tnbji" localSheetId="0">#REF!</definedName>
    <definedName name="tnbji" localSheetId="3">#REF!</definedName>
    <definedName name="tnbji" localSheetId="7">#REF!</definedName>
    <definedName name="tnbji" localSheetId="8">#REF!</definedName>
    <definedName name="tnbji" localSheetId="2">#REF!</definedName>
    <definedName name="tnbji">#REF!</definedName>
    <definedName name="TOLERANCIA" localSheetId="0">[19]TABLA_VENTAS!$A$3:$D$400</definedName>
    <definedName name="TOLERANCIA" localSheetId="7">[20]TABLA_VENTAS!$A$3:$D$400</definedName>
    <definedName name="TOLERANCIA" localSheetId="8">[21]TABLA_VENTAS!$A$3:$D$400</definedName>
    <definedName name="TOLERANCIA">[22]TABLA_VENTAS!$A$3:$D$400</definedName>
    <definedName name="TR">[1]TABLA_VENTAS!$A$3:$D$400</definedName>
    <definedName name="trewt">[1]TABLA_VENTAS!$A$3:$D$400</definedName>
    <definedName name="TREWTSDE">[1]TABLA_VENTAS!$A$3:$D$400</definedName>
    <definedName name="TRIUNFAR">[1]TABLA_VENTAS!$A$3:$D$400</definedName>
    <definedName name="tuesperanza" localSheetId="0">[23]TABLA_VENTAS!$A$3:$D$400</definedName>
    <definedName name="tuesperanza" localSheetId="7">[24]TABLA_VENTAS!$A$3:$D$400</definedName>
    <definedName name="tuesperanza" localSheetId="8">[25]TABLA_VENTAS!$A$3:$D$400</definedName>
    <definedName name="tuesperanza">[26]TABLA_VENTAS!$A$3:$D$400</definedName>
    <definedName name="tuyo" localSheetId="0">[4]TABLA_VENTAS!$A$3:$D$400</definedName>
    <definedName name="tuyo" localSheetId="7">[5]TABLA_VENTAS!$A$3:$D$400</definedName>
    <definedName name="tuyo" localSheetId="8">[6]TABLA_VENTAS!$A$3:$D$400</definedName>
    <definedName name="tuyo">[7]TABLA_VENTAS!$A$3:$D$400</definedName>
    <definedName name="twertert">'[3]TABLA-VENTAS'!$A$3:$D$400</definedName>
    <definedName name="twretwe">[1]TABLA_VENTAS!$A$3:$D$400</definedName>
    <definedName name="ty">[1]TABLA_VENTAS!$A$3:$D$400</definedName>
    <definedName name="TYFI">[1]TABLA_VENTAS!$A$3:$D$400</definedName>
    <definedName name="TYHG" localSheetId="4">#REF!</definedName>
    <definedName name="TYHG" localSheetId="0">#REF!</definedName>
    <definedName name="TYHG" localSheetId="3">#REF!</definedName>
    <definedName name="TYHG" localSheetId="7">#REF!</definedName>
    <definedName name="TYHG" localSheetId="8">#REF!</definedName>
    <definedName name="TYHG" localSheetId="2">#REF!</definedName>
    <definedName name="TYHG">#REF!</definedName>
    <definedName name="tyhgyt">[1]TABLA_VENTAS!$A$3:$D$400</definedName>
    <definedName name="TYHJ" localSheetId="4">#REF!</definedName>
    <definedName name="TYHJ" localSheetId="0">#REF!</definedName>
    <definedName name="TYHJ" localSheetId="3">#REF!</definedName>
    <definedName name="TYHJ" localSheetId="7">#REF!</definedName>
    <definedName name="TYHJ" localSheetId="8">#REF!</definedName>
    <definedName name="TYHJ" localSheetId="2">#REF!</definedName>
    <definedName name="TYHJ">#REF!</definedName>
    <definedName name="TYTY">'[3]TABLA-VENTAS'!$A$3:$D$400</definedName>
    <definedName name="TYU">[1]TABLA_VENTAS!$A$3:$D$400</definedName>
    <definedName name="TYUJ" localSheetId="4">#REF!</definedName>
    <definedName name="TYUJ" localSheetId="0">#REF!</definedName>
    <definedName name="TYUJ" localSheetId="3">#REF!</definedName>
    <definedName name="TYUJ" localSheetId="7">#REF!</definedName>
    <definedName name="TYUJ" localSheetId="8">#REF!</definedName>
    <definedName name="TYUJ" localSheetId="2">#REF!</definedName>
    <definedName name="TYUJ">#REF!</definedName>
    <definedName name="UHJYTG" localSheetId="4">#REF!</definedName>
    <definedName name="UHJYTG" localSheetId="0">#REF!</definedName>
    <definedName name="UHJYTG" localSheetId="3">#REF!</definedName>
    <definedName name="UHJYTG" localSheetId="7">#REF!</definedName>
    <definedName name="UHJYTG" localSheetId="8">#REF!</definedName>
    <definedName name="UHJYTG" localSheetId="2">#REF!</definedName>
    <definedName name="UHJYTG">#REF!</definedName>
    <definedName name="UIKJYH" localSheetId="4">#REF!</definedName>
    <definedName name="UIKJYH" localSheetId="0">#REF!</definedName>
    <definedName name="UIKJYH" localSheetId="3">#REF!</definedName>
    <definedName name="UIKJYH" localSheetId="7">#REF!</definedName>
    <definedName name="UIKJYH" localSheetId="8">#REF!</definedName>
    <definedName name="UIKJYH" localSheetId="2">#REF!</definedName>
    <definedName name="UIKJYH">#REF!</definedName>
    <definedName name="UIMBF" localSheetId="4">#REF!</definedName>
    <definedName name="UIMBF" localSheetId="0">#REF!</definedName>
    <definedName name="UIMBF" localSheetId="3">#REF!</definedName>
    <definedName name="UIMBF" localSheetId="7">#REF!</definedName>
    <definedName name="UIMBF" localSheetId="8">#REF!</definedName>
    <definedName name="UIMBF" localSheetId="2">#REF!</definedName>
    <definedName name="UIMBF">#REF!</definedName>
    <definedName name="UIOKJK" localSheetId="4">#REF!</definedName>
    <definedName name="UIOKJK" localSheetId="0">#REF!</definedName>
    <definedName name="UIOKJK" localSheetId="3">#REF!</definedName>
    <definedName name="UIOKJK" localSheetId="7">#REF!</definedName>
    <definedName name="UIOKJK" localSheetId="8">#REF!</definedName>
    <definedName name="UIOKJK" localSheetId="2">#REF!</definedName>
    <definedName name="UIOKJK">#REF!</definedName>
    <definedName name="UIYHJ">'[2]TABLA-VENTAS'!$A$3:$D$400</definedName>
    <definedName name="UIYUIU">'[2]TABLA-VENTAS'!$A$3:$D$400</definedName>
    <definedName name="UJHIO" localSheetId="4">#REF!</definedName>
    <definedName name="UJHIO" localSheetId="0">#REF!</definedName>
    <definedName name="UJHIO" localSheetId="3">#REF!</definedName>
    <definedName name="UJHIO" localSheetId="7">#REF!</definedName>
    <definedName name="UJHIO" localSheetId="8">#REF!</definedName>
    <definedName name="UJHIO" localSheetId="2">#REF!</definedName>
    <definedName name="UJHIO">#REF!</definedName>
    <definedName name="ujhy" localSheetId="4">#REF!</definedName>
    <definedName name="ujhy" localSheetId="0">#REF!</definedName>
    <definedName name="ujhy" localSheetId="3">#REF!</definedName>
    <definedName name="ujhy" localSheetId="7">#REF!</definedName>
    <definedName name="ujhy" localSheetId="8">#REF!</definedName>
    <definedName name="ujhy" localSheetId="2">#REF!</definedName>
    <definedName name="ujhy">#REF!</definedName>
    <definedName name="UJHYGT" localSheetId="4">#REF!</definedName>
    <definedName name="UJHYGT" localSheetId="0">#REF!</definedName>
    <definedName name="UJHYGT" localSheetId="3">#REF!</definedName>
    <definedName name="UJHYGT" localSheetId="7">#REF!</definedName>
    <definedName name="UJHYGT" localSheetId="8">#REF!</definedName>
    <definedName name="UJHYGT" localSheetId="2">#REF!</definedName>
    <definedName name="UJHYGT">#REF!</definedName>
    <definedName name="ujki" localSheetId="4">#REF!</definedName>
    <definedName name="ujki" localSheetId="0">#REF!</definedName>
    <definedName name="ujki" localSheetId="3">#REF!</definedName>
    <definedName name="ujki" localSheetId="7">#REF!</definedName>
    <definedName name="ujki" localSheetId="8">#REF!</definedName>
    <definedName name="ujki" localSheetId="2">#REF!</definedName>
    <definedName name="ujki">#REF!</definedName>
    <definedName name="UJKIOL" localSheetId="4">#REF!</definedName>
    <definedName name="UJKIOL" localSheetId="0">#REF!</definedName>
    <definedName name="UJKIOL" localSheetId="3">#REF!</definedName>
    <definedName name="UJKIOL" localSheetId="7">#REF!</definedName>
    <definedName name="UJKIOL" localSheetId="8">#REF!</definedName>
    <definedName name="UJKIOL" localSheetId="2">#REF!</definedName>
    <definedName name="UJKIOL">#REF!</definedName>
    <definedName name="UJKY" localSheetId="4">#REF!</definedName>
    <definedName name="UJKY" localSheetId="0">#REF!</definedName>
    <definedName name="UJKY" localSheetId="3">#REF!</definedName>
    <definedName name="UJKY" localSheetId="7">#REF!</definedName>
    <definedName name="UJKY" localSheetId="8">#REF!</definedName>
    <definedName name="UJKY" localSheetId="2">#REF!</definedName>
    <definedName name="UJKY">#REF!</definedName>
    <definedName name="UJMNH" localSheetId="4">#REF!</definedName>
    <definedName name="UJMNH" localSheetId="0">#REF!</definedName>
    <definedName name="UJMNH" localSheetId="3">#REF!</definedName>
    <definedName name="UJMNH" localSheetId="7">#REF!</definedName>
    <definedName name="UJMNH" localSheetId="8">#REF!</definedName>
    <definedName name="UJMNH" localSheetId="2">#REF!</definedName>
    <definedName name="UJMNH">#REF!</definedName>
    <definedName name="UJMNHYTGB" localSheetId="4">#REF!</definedName>
    <definedName name="UJMNHYTGB" localSheetId="0">#REF!</definedName>
    <definedName name="UJMNHYTGB" localSheetId="3">#REF!</definedName>
    <definedName name="UJMNHYTGB" localSheetId="7">#REF!</definedName>
    <definedName name="UJMNHYTGB" localSheetId="8">#REF!</definedName>
    <definedName name="UJMNHYTGB" localSheetId="2">#REF!</definedName>
    <definedName name="UJMNHYTGB">#REF!</definedName>
    <definedName name="UJYT" localSheetId="4">#REF!</definedName>
    <definedName name="UJYT" localSheetId="0">#REF!</definedName>
    <definedName name="UJYT" localSheetId="3">#REF!</definedName>
    <definedName name="UJYT" localSheetId="7">#REF!</definedName>
    <definedName name="UJYT" localSheetId="8">#REF!</definedName>
    <definedName name="UJYT" localSheetId="2">#REF!</definedName>
    <definedName name="UJYT">#REF!</definedName>
    <definedName name="UKJLOI" localSheetId="4">#REF!</definedName>
    <definedName name="UKJLOI" localSheetId="0">#REF!</definedName>
    <definedName name="UKJLOI" localSheetId="3">#REF!</definedName>
    <definedName name="UKJLOI" localSheetId="7">#REF!</definedName>
    <definedName name="UKJLOI" localSheetId="8">#REF!</definedName>
    <definedName name="UKJLOI" localSheetId="2">#REF!</definedName>
    <definedName name="UKJLOI">#REF!</definedName>
    <definedName name="UMRÑ" localSheetId="4">#REF!</definedName>
    <definedName name="UMRÑ" localSheetId="0">#REF!</definedName>
    <definedName name="UMRÑ" localSheetId="3">#REF!</definedName>
    <definedName name="UMRÑ" localSheetId="7">#REF!</definedName>
    <definedName name="UMRÑ" localSheetId="8">#REF!</definedName>
    <definedName name="UMRÑ" localSheetId="2">#REF!</definedName>
    <definedName name="UMRÑ">#REF!</definedName>
    <definedName name="UP_AC" localSheetId="4">OFFSET(#REF!,0,0,1,#REF!)</definedName>
    <definedName name="UP_AC" localSheetId="0">OFFSET(#REF!,0,0,1,#REF!)</definedName>
    <definedName name="UP_AC" localSheetId="3">OFFSET(#REF!,0,0,1,#REF!)</definedName>
    <definedName name="UP_AC" localSheetId="7">OFFSET(#REF!,0,0,1,#REF!)</definedName>
    <definedName name="UP_AC" localSheetId="8">OFFSET(#REF!,0,0,1,#REF!)</definedName>
    <definedName name="UP_AC" localSheetId="2">OFFSET(#REF!,0,0,1,#REF!)</definedName>
    <definedName name="UP_AC">OFFSET(#REF!,0,0,1,#REF!)</definedName>
    <definedName name="UP_Dia" localSheetId="4">OFFSET(#REF!,0,0,1,#REF!)</definedName>
    <definedName name="UP_Dia" localSheetId="0">OFFSET(#REF!,0,0,1,#REF!)</definedName>
    <definedName name="UP_Dia" localSheetId="3">OFFSET(#REF!,0,0,1,#REF!)</definedName>
    <definedName name="UP_Dia" localSheetId="7">OFFSET(#REF!,0,0,1,#REF!)</definedName>
    <definedName name="UP_Dia" localSheetId="8">OFFSET(#REF!,0,0,1,#REF!)</definedName>
    <definedName name="UP_Dia" localSheetId="2">OFFSET(#REF!,0,0,1,#REF!)</definedName>
    <definedName name="UP_Dia">OFFSET(#REF!,0,0,1,#REF!)</definedName>
    <definedName name="UP_UP" localSheetId="4">OFFSET(#REF!,0,0,1,#REF!)</definedName>
    <definedName name="UP_UP" localSheetId="0">OFFSET(#REF!,0,0,1,#REF!)</definedName>
    <definedName name="UP_UP" localSheetId="3">OFFSET(#REF!,0,0,1,#REF!)</definedName>
    <definedName name="UP_UP" localSheetId="7">OFFSET(#REF!,0,0,1,#REF!)</definedName>
    <definedName name="UP_UP" localSheetId="8">OFFSET(#REF!,0,0,1,#REF!)</definedName>
    <definedName name="UP_UP" localSheetId="2">OFFSET(#REF!,0,0,1,#REF!)</definedName>
    <definedName name="UP_UP">OFFSET(#REF!,0,0,1,#REF!)</definedName>
    <definedName name="UYIKHJ">'[2]TABLA-VENTAS'!$A$3:$D$400</definedName>
    <definedName name="UYJK" localSheetId="4">#REF!</definedName>
    <definedName name="UYJK" localSheetId="0">#REF!</definedName>
    <definedName name="UYJK" localSheetId="3">#REF!</definedName>
    <definedName name="UYJK" localSheetId="7">#REF!</definedName>
    <definedName name="UYJK" localSheetId="8">#REF!</definedName>
    <definedName name="UYJK" localSheetId="2">#REF!</definedName>
    <definedName name="UYJK">#REF!</definedName>
    <definedName name="UYTG" localSheetId="4">#REF!</definedName>
    <definedName name="UYTG" localSheetId="0">#REF!</definedName>
    <definedName name="UYTG" localSheetId="3">#REF!</definedName>
    <definedName name="UYTG" localSheetId="7">#REF!</definedName>
    <definedName name="UYTG" localSheetId="8">#REF!</definedName>
    <definedName name="UYTG" localSheetId="2">#REF!</definedName>
    <definedName name="UYTG">#REF!</definedName>
    <definedName name="VAQE">[1]TABLA_VENTAS!$A$3:$D$400</definedName>
    <definedName name="VBGRTY" localSheetId="4">#REF!</definedName>
    <definedName name="VBGRTY" localSheetId="0">#REF!</definedName>
    <definedName name="VBGRTY" localSheetId="3">#REF!</definedName>
    <definedName name="VBGRTY" localSheetId="7">#REF!</definedName>
    <definedName name="VBGRTY" localSheetId="8">#REF!</definedName>
    <definedName name="VBGRTY" localSheetId="2">#REF!</definedName>
    <definedName name="VBGRTY">#REF!</definedName>
    <definedName name="VBVXC">'[3]TABLA-VENTAS'!$A$3:$D$400</definedName>
    <definedName name="VCDF" localSheetId="4">#REF!</definedName>
    <definedName name="VCDF" localSheetId="0">#REF!</definedName>
    <definedName name="VCDF" localSheetId="3">#REF!</definedName>
    <definedName name="VCDF" localSheetId="7">#REF!</definedName>
    <definedName name="VCDF" localSheetId="8">#REF!</definedName>
    <definedName name="VCDF" localSheetId="2">#REF!</definedName>
    <definedName name="VCDF">#REF!</definedName>
    <definedName name="VCF">[1]TABLA_VENTAS!$A$3:$D$400</definedName>
    <definedName name="VCXV">'[3]TABLA-VENTAS'!$A$3:$D$400</definedName>
    <definedName name="VDFD">[12]TABLA_VENTAS!$A$3:$D$400</definedName>
    <definedName name="VDFSX">'[2]TABLA-VENTAS'!$A$3:$D$400</definedName>
    <definedName name="VDSCZX">'[2]TABLA-VENTAS'!$A$3:$D$400</definedName>
    <definedName name="VENT" localSheetId="0">[67]TB!#REF!</definedName>
    <definedName name="VENT" localSheetId="7">[68]TB!#REF!</definedName>
    <definedName name="VENT" localSheetId="8">[69]TB!#REF!</definedName>
    <definedName name="VENT">[70]TB!#REF!</definedName>
    <definedName name="VERFEGA">[14]TABLA_VENTAS!$A$3:$D$400</definedName>
    <definedName name="VERSA">[1]TABLA_VENTAS!$A$3:$D$400</definedName>
    <definedName name="VIRUS" localSheetId="0">[27]TABLA_VENTAS!$A$3:$D$400</definedName>
    <definedName name="VIRUS" localSheetId="7">[28]TABLA_VENTAS!$A$3:$D$400</definedName>
    <definedName name="VIRUS" localSheetId="8">[29]TABLA_VENTAS!$A$3:$D$400</definedName>
    <definedName name="VIRUS">[30]TABLA_VENTAS!$A$3:$D$400</definedName>
    <definedName name="VQE">[1]TABLA_VENTAS!$A$3:$D$400</definedName>
    <definedName name="vtas" localSheetId="0">'[71]TABLA-VENTAS'!$A$3:$D$400</definedName>
    <definedName name="vtas" localSheetId="7">#REF!</definedName>
    <definedName name="vtas" localSheetId="8">#N/A</definedName>
    <definedName name="vtas">'[72]TABLA-VENTAS'!$A$3:$D$400</definedName>
    <definedName name="WE">'[3]TABLA-VENTAS'!$A$3:$D$400</definedName>
    <definedName name="wed" localSheetId="4">#REF!</definedName>
    <definedName name="wed" localSheetId="0">#REF!</definedName>
    <definedName name="wed" localSheetId="3">#REF!</definedName>
    <definedName name="wed" localSheetId="7">#REF!</definedName>
    <definedName name="wed" localSheetId="8">#REF!</definedName>
    <definedName name="wed" localSheetId="2">#REF!</definedName>
    <definedName name="wed">#REF!</definedName>
    <definedName name="weop" localSheetId="4">#REF!</definedName>
    <definedName name="weop" localSheetId="0">#REF!</definedName>
    <definedName name="weop" localSheetId="3">#REF!</definedName>
    <definedName name="weop" localSheetId="7">#REF!</definedName>
    <definedName name="weop" localSheetId="8">#REF!</definedName>
    <definedName name="weop" localSheetId="2">#REF!</definedName>
    <definedName name="weop">#REF!</definedName>
    <definedName name="WERT">[1]TABLA_VENTAS!$A$3:$D$400</definedName>
    <definedName name="WERWE">'[3]TABLA-VENTAS'!$A$3:$D$400</definedName>
    <definedName name="WID" localSheetId="4">#REF!</definedName>
    <definedName name="WID" localSheetId="0">#REF!</definedName>
    <definedName name="WID" localSheetId="3">#REF!</definedName>
    <definedName name="WID" localSheetId="7">#REF!</definedName>
    <definedName name="WID" localSheetId="8">#REF!</definedName>
    <definedName name="WID" localSheetId="2">#REF!</definedName>
    <definedName name="WID">#REF!</definedName>
    <definedName name="WQ2E">'[2]TABLA-VENTAS'!$A$3:$D$400</definedName>
    <definedName name="wqsA">'[2]TABLA-VENTAS'!$A$3:$D$400</definedName>
    <definedName name="WQWS">'[2]TABLA-VENTAS'!$A$3:$D$400</definedName>
    <definedName name="ww">[73]!ExcesoPorcentajeCompletado*[73]!PeríodoEnPlan</definedName>
    <definedName name="XAPO">[1]TABLA_VENTAS!$A$3:$D$400</definedName>
    <definedName name="XAPOGH">[1]TABLA_VENTAS!$A$3:$D$400</definedName>
    <definedName name="XAQO">[1]TABLA_VENTAS!$A$3:$D$400</definedName>
    <definedName name="XAZS">[1]TABLA_VENTAS!$A$3:$D$400</definedName>
    <definedName name="XC">'[3]TABLA-VENTAS'!$A$3:$D$400</definedName>
    <definedName name="XCSDCZ">'[2]TABLA-VENTAS'!$A$3:$D$400</definedName>
    <definedName name="XCVBNM" localSheetId="4">#REF!</definedName>
    <definedName name="XCVBNM" localSheetId="0">#REF!</definedName>
    <definedName name="XCVBNM" localSheetId="3">#REF!</definedName>
    <definedName name="XCVBNM" localSheetId="7">#REF!</definedName>
    <definedName name="XCVBNM" localSheetId="8">#REF!</definedName>
    <definedName name="XCVBNM" localSheetId="2">#REF!</definedName>
    <definedName name="XCVBNM">#REF!</definedName>
    <definedName name="XCVF" localSheetId="4">#REF!</definedName>
    <definedName name="XCVF" localSheetId="0">#REF!</definedName>
    <definedName name="XCVF" localSheetId="3">#REF!</definedName>
    <definedName name="XCVF" localSheetId="7">#REF!</definedName>
    <definedName name="XCVF" localSheetId="8">#REF!</definedName>
    <definedName name="XCVF" localSheetId="2">#REF!</definedName>
    <definedName name="XCVF">#REF!</definedName>
    <definedName name="XDEJ">[1]TABLA_VENTAS!$A$3:$D$400</definedName>
    <definedName name="XDP">[1]TABLA_VENTAS!$A$3:$D$400</definedName>
    <definedName name="XDSAXVZ">'[2]TABLA-VENTAS'!$A$3:$D$400</definedName>
    <definedName name="XF">[1]TABLA_VENTAS!$A$3:$D$400</definedName>
    <definedName name="XFGZ">'[3]TABLA-VENTAS'!$A$3:$D$400</definedName>
    <definedName name="XGARQÑ">[1]TABLA_VENTAS!$A$3:$D$400</definedName>
    <definedName name="XOI" localSheetId="0">[56]TABLA_VENTAS!$A$3:$D$400</definedName>
    <definedName name="XOI" localSheetId="7">[57]TABLA_VENTAS!$A$3:$D$400</definedName>
    <definedName name="XOI" localSheetId="8">[58]TABLA_VENTAS!$A$3:$D$400</definedName>
    <definedName name="XOI">[59]TABLA_VENTAS!$A$3:$D$400</definedName>
    <definedName name="XSDR" localSheetId="4">#REF!</definedName>
    <definedName name="XSDR" localSheetId="0">#REF!</definedName>
    <definedName name="XSDR" localSheetId="3">#REF!</definedName>
    <definedName name="XSDR" localSheetId="7">#REF!</definedName>
    <definedName name="XSDR" localSheetId="8">#REF!</definedName>
    <definedName name="XSDR" localSheetId="2">#REF!</definedName>
    <definedName name="XSDR">#REF!</definedName>
    <definedName name="xuk">[1]TABLA_VENTAS!$A$3:$D$400</definedName>
    <definedName name="xyt">[1]TABLA_VENTAS!$A$3:$D$400</definedName>
    <definedName name="XZCXZ">'[3]TABLA-VENTAS'!$A$3:$D$400</definedName>
    <definedName name="y">'[3]TABLA-VENTAS'!$A$3:$D$400</definedName>
    <definedName name="ydrgglvm" localSheetId="0">[23]TABLA_VENTAS!$A$3:$D$400</definedName>
    <definedName name="ydrgglvm" localSheetId="7">[24]TABLA_VENTAS!$A$3:$D$400</definedName>
    <definedName name="ydrgglvm" localSheetId="8">[25]TABLA_VENTAS!$A$3:$D$400</definedName>
    <definedName name="ydrgglvm">[26]TABLA_VENTAS!$A$3:$D$400</definedName>
    <definedName name="YESIK" localSheetId="0">[19]TABLA_VENTAS!$A$3:$D$400</definedName>
    <definedName name="YESIK" localSheetId="7">[20]TABLA_VENTAS!$A$3:$D$400</definedName>
    <definedName name="YESIK" localSheetId="8">[21]TABLA_VENTAS!$A$3:$D$400</definedName>
    <definedName name="YESIK">[22]TABLA_VENTAS!$A$3:$D$400</definedName>
    <definedName name="YHF" localSheetId="4">#REF!</definedName>
    <definedName name="YHF" localSheetId="0">#REF!</definedName>
    <definedName name="YHF" localSheetId="3">#REF!</definedName>
    <definedName name="YHF" localSheetId="7">#REF!</definedName>
    <definedName name="YHF" localSheetId="8">#REF!</definedName>
    <definedName name="YHF" localSheetId="2">#REF!</definedName>
    <definedName name="YHF">#REF!</definedName>
    <definedName name="YHGTR" localSheetId="4">#REF!</definedName>
    <definedName name="YHGTR" localSheetId="0">#REF!</definedName>
    <definedName name="YHGTR" localSheetId="3">#REF!</definedName>
    <definedName name="YHGTR" localSheetId="7">#REF!</definedName>
    <definedName name="YHGTR" localSheetId="8">#REF!</definedName>
    <definedName name="YHGTR" localSheetId="2">#REF!</definedName>
    <definedName name="YHGTR">#REF!</definedName>
    <definedName name="YHJMN" localSheetId="4">#REF!</definedName>
    <definedName name="YHJMN" localSheetId="0">#REF!</definedName>
    <definedName name="YHJMN" localSheetId="3">#REF!</definedName>
    <definedName name="YHJMN" localSheetId="7">#REF!</definedName>
    <definedName name="YHJMN" localSheetId="8">#REF!</definedName>
    <definedName name="YHJMN" localSheetId="2">#REF!</definedName>
    <definedName name="YHJMN">#REF!</definedName>
    <definedName name="YHNB" localSheetId="4">#REF!</definedName>
    <definedName name="YHNB" localSheetId="0">#REF!</definedName>
    <definedName name="YHNB" localSheetId="3">#REF!</definedName>
    <definedName name="YHNB" localSheetId="7">#REF!</definedName>
    <definedName name="YHNB" localSheetId="8">#REF!</definedName>
    <definedName name="YHNB" localSheetId="2">#REF!</definedName>
    <definedName name="YHNB">#REF!</definedName>
    <definedName name="yifiy" localSheetId="0">[4]TABLA_VENTAS!$A$3:$D$400</definedName>
    <definedName name="yifiy" localSheetId="7">[5]TABLA_VENTAS!$A$3:$D$400</definedName>
    <definedName name="yifiy" localSheetId="8">[6]TABLA_VENTAS!$A$3:$D$400</definedName>
    <definedName name="yifiy">[7]TABLA_VENTAS!$A$3:$D$400</definedName>
    <definedName name="YINA">[1]TABLA_VENTAS!$A$3:$D$400</definedName>
    <definedName name="YIRYI">[1]TABLA_VENTAS!$A$3:$D$400</definedName>
    <definedName name="YIRYIMAN">[1]TABLA_VENTAS!$A$3:$D$400</definedName>
    <definedName name="YJHGY" localSheetId="4">#REF!</definedName>
    <definedName name="YJHGY" localSheetId="0">#REF!</definedName>
    <definedName name="YJHGY" localSheetId="3">#REF!</definedName>
    <definedName name="YJHGY" localSheetId="7">#REF!</definedName>
    <definedName name="YJHGY" localSheetId="8">#REF!</definedName>
    <definedName name="YJHGY" localSheetId="2">#REF!</definedName>
    <definedName name="YJHGY">#REF!</definedName>
    <definedName name="YNOÑ" localSheetId="4">#REF!</definedName>
    <definedName name="YNOÑ" localSheetId="0">#REF!</definedName>
    <definedName name="YNOÑ" localSheetId="3">#REF!</definedName>
    <definedName name="YNOÑ" localSheetId="7">#REF!</definedName>
    <definedName name="YNOÑ" localSheetId="8">#REF!</definedName>
    <definedName name="YNOÑ" localSheetId="2">#REF!</definedName>
    <definedName name="YNOÑ">#REF!</definedName>
    <definedName name="yoti" localSheetId="0">[4]TABLA_VENTAS!$A$3:$D$400</definedName>
    <definedName name="yoti" localSheetId="7">[5]TABLA_VENTAS!$A$3:$D$400</definedName>
    <definedName name="yoti" localSheetId="8">[6]TABLA_VENTAS!$A$3:$D$400</definedName>
    <definedName name="yoti">[7]TABLA_VENTAS!$A$3:$D$400</definedName>
    <definedName name="YRG" localSheetId="4">#REF!</definedName>
    <definedName name="YRG" localSheetId="0">#REF!</definedName>
    <definedName name="YRG" localSheetId="3">#REF!</definedName>
    <definedName name="YRG" localSheetId="7">#REF!</definedName>
    <definedName name="YRG" localSheetId="8">#REF!</definedName>
    <definedName name="YRG" localSheetId="2">#REF!</definedName>
    <definedName name="YRG">#REF!</definedName>
    <definedName name="YTUHGH" localSheetId="4">#REF!</definedName>
    <definedName name="YTUHGH" localSheetId="0">#REF!</definedName>
    <definedName name="YTUHGH" localSheetId="3">#REF!</definedName>
    <definedName name="YTUHGH" localSheetId="7">#REF!</definedName>
    <definedName name="YTUHGH" localSheetId="8">#REF!</definedName>
    <definedName name="YTUHGH" localSheetId="2">#REF!</definedName>
    <definedName name="YTUHGH">#REF!</definedName>
    <definedName name="ytyrt">[1]TABLA_VENTAS!$A$3:$D$400</definedName>
    <definedName name="YUIJH" localSheetId="4">#REF!</definedName>
    <definedName name="YUIJH" localSheetId="0">#REF!</definedName>
    <definedName name="YUIJH" localSheetId="3">#REF!</definedName>
    <definedName name="YUIJH" localSheetId="7">#REF!</definedName>
    <definedName name="YUIJH" localSheetId="8">#REF!</definedName>
    <definedName name="YUIJH" localSheetId="2">#REF!</definedName>
    <definedName name="YUIJH">#REF!</definedName>
    <definedName name="ZAPO">[1]TABLA_VENTAS!$A$3:$D$400</definedName>
    <definedName name="ZAQ">[1]TABLA_VENTAS!$A$3:$D$400</definedName>
    <definedName name="ZARE">[1]TABLA_VENTAS!$A$3:$D$400</definedName>
    <definedName name="ZASXD" localSheetId="4">#REF!</definedName>
    <definedName name="ZASXD" localSheetId="0">#REF!</definedName>
    <definedName name="ZASXD" localSheetId="3">#REF!</definedName>
    <definedName name="ZASXD" localSheetId="7">#REF!</definedName>
    <definedName name="ZASXD" localSheetId="8">#REF!</definedName>
    <definedName name="ZASXD" localSheetId="2">#REF!</definedName>
    <definedName name="ZASXD">#REF!</definedName>
    <definedName name="ZASZAS">[1]TABLA_VENTAS!$A$3:$D$400</definedName>
    <definedName name="ZCXSZC">'[2]TABLA-VENTAS'!$A$3:$D$400</definedName>
    <definedName name="ZÑW" localSheetId="4">#REF!</definedName>
    <definedName name="ZÑW" localSheetId="0">#REF!</definedName>
    <definedName name="ZÑW" localSheetId="3">#REF!</definedName>
    <definedName name="ZÑW" localSheetId="7">#REF!</definedName>
    <definedName name="ZÑW" localSheetId="8">#REF!</definedName>
    <definedName name="ZÑW" localSheetId="2">#REF!</definedName>
    <definedName name="ZÑW">#REF!</definedName>
    <definedName name="zperoco" localSheetId="0">[4]TABLA_VENTAS!$A$3:$D$400</definedName>
    <definedName name="zperoco" localSheetId="7">[5]TABLA_VENTAS!$A$3:$D$400</definedName>
    <definedName name="zperoco" localSheetId="8">[6]TABLA_VENTAS!$A$3:$D$400</definedName>
    <definedName name="zperoco">[7]TABLA_VENTAS!$A$3:$D$400</definedName>
    <definedName name="ZSACFHJ">[1]TABLA_VENTAS!$A$3:$D$400</definedName>
    <definedName name="ZSDSCZ">'[2]TABLA-VENTAS'!$A$3:$D$400</definedName>
    <definedName name="ZX">'[3]TABLA-VENTAS'!$A$3:$D$400</definedName>
    <definedName name="ZXA">[1]TABLA_VENTAS!$A$3:$D$400</definedName>
    <definedName name="ZXCV" localSheetId="4">#REF!</definedName>
    <definedName name="ZXCV" localSheetId="0">#REF!</definedName>
    <definedName name="ZXCV" localSheetId="3">#REF!</definedName>
    <definedName name="ZXCV" localSheetId="7">#REF!</definedName>
    <definedName name="ZXCV" localSheetId="8">#REF!</definedName>
    <definedName name="ZXCV" localSheetId="2">#REF!</definedName>
    <definedName name="ZXCV">#REF!</definedName>
    <definedName name="ZXXCFDG" localSheetId="4">#REF!</definedName>
    <definedName name="ZXXCFDG" localSheetId="0">#REF!</definedName>
    <definedName name="ZXXCFDG" localSheetId="3">#REF!</definedName>
    <definedName name="ZXXCFDG" localSheetId="7">#REF!</definedName>
    <definedName name="ZXXCFDG" localSheetId="8">#REF!</definedName>
    <definedName name="ZXXCFDG" localSheetId="2">#REF!</definedName>
    <definedName name="ZXXCFDG">#REF!</definedName>
    <definedName name="ZZss">[1]TABLA_VENTAS!$A$3:$D$400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4" i="60" l="1"/>
  <c r="H94" i="60"/>
  <c r="I94" i="60"/>
  <c r="J94" i="60"/>
  <c r="K94" i="60"/>
  <c r="L94" i="60"/>
  <c r="M94" i="60"/>
  <c r="N94" i="60"/>
  <c r="O94" i="60"/>
  <c r="P94" i="60"/>
  <c r="Q94" i="60"/>
  <c r="R94" i="60"/>
  <c r="S94" i="60"/>
  <c r="T94" i="60"/>
  <c r="U94" i="60"/>
  <c r="V94" i="60"/>
  <c r="W94" i="60"/>
  <c r="X94" i="60"/>
  <c r="Y94" i="60"/>
  <c r="Z94" i="60"/>
  <c r="AA94" i="60"/>
  <c r="AB94" i="60"/>
  <c r="AC94" i="60"/>
  <c r="AD94" i="60"/>
  <c r="AE94" i="60"/>
  <c r="AF94" i="60"/>
  <c r="AG94" i="60"/>
  <c r="AH94" i="60"/>
  <c r="AI94" i="60"/>
  <c r="G93" i="60"/>
  <c r="G92" i="60"/>
  <c r="G91" i="60"/>
  <c r="F94" i="60"/>
  <c r="G84" i="60"/>
  <c r="G127" i="60"/>
  <c r="G124" i="60"/>
  <c r="G79" i="60"/>
  <c r="G78" i="60"/>
  <c r="G77" i="60"/>
  <c r="G81" i="60"/>
  <c r="R81" i="32"/>
  <c r="G88" i="60"/>
  <c r="G21" i="60"/>
  <c r="G22" i="60"/>
  <c r="G23" i="60"/>
  <c r="G27" i="60"/>
  <c r="G26" i="60"/>
  <c r="G25" i="60"/>
  <c r="G72" i="60"/>
  <c r="G44" i="60"/>
  <c r="G30" i="60"/>
  <c r="G31" i="60"/>
  <c r="G32" i="60"/>
  <c r="G33" i="60"/>
  <c r="G34" i="60"/>
  <c r="G35" i="60"/>
  <c r="G29" i="60"/>
  <c r="G100" i="60"/>
  <c r="G99" i="60"/>
  <c r="G98" i="60"/>
  <c r="G97" i="60"/>
  <c r="G19" i="60"/>
  <c r="G18" i="60"/>
  <c r="G17" i="60"/>
  <c r="G126" i="60"/>
  <c r="G123" i="60"/>
  <c r="G122" i="60"/>
  <c r="G121" i="60"/>
  <c r="G119" i="60"/>
  <c r="G113" i="60"/>
  <c r="G114" i="60"/>
  <c r="G8" i="60"/>
  <c r="G7" i="60"/>
  <c r="G6" i="60"/>
  <c r="R8" i="32"/>
  <c r="G12" i="60"/>
  <c r="G11" i="60"/>
  <c r="G10" i="60"/>
  <c r="H52" i="60"/>
  <c r="I52" i="60"/>
  <c r="J52" i="60"/>
  <c r="K52" i="60"/>
  <c r="L52" i="60"/>
  <c r="M52" i="60"/>
  <c r="N52" i="60"/>
  <c r="O52" i="60"/>
  <c r="P52" i="60"/>
  <c r="Q52" i="60"/>
  <c r="R52" i="60"/>
  <c r="S52" i="60"/>
  <c r="T52" i="60"/>
  <c r="U52" i="60"/>
  <c r="V52" i="60"/>
  <c r="W52" i="60"/>
  <c r="X52" i="60"/>
  <c r="Y52" i="60"/>
  <c r="Z52" i="60"/>
  <c r="AA52" i="60"/>
  <c r="AB52" i="60"/>
  <c r="AC52" i="60"/>
  <c r="AD52" i="60"/>
  <c r="AE52" i="60"/>
  <c r="AF52" i="60"/>
  <c r="AG52" i="60"/>
  <c r="AH52" i="60"/>
  <c r="AI52" i="60"/>
  <c r="G51" i="60"/>
  <c r="G50" i="60"/>
  <c r="G49" i="60"/>
  <c r="G52" i="60" s="1"/>
  <c r="F52" i="60"/>
  <c r="G87" i="60"/>
  <c r="G86" i="60"/>
  <c r="G82" i="60"/>
  <c r="G73" i="60"/>
  <c r="G102" i="60"/>
  <c r="G96" i="60"/>
  <c r="G95" i="60"/>
  <c r="G90" i="60"/>
  <c r="G53" i="60"/>
  <c r="G54" i="60"/>
  <c r="G55" i="60"/>
  <c r="G57" i="60"/>
  <c r="G58" i="60"/>
  <c r="G59" i="60"/>
  <c r="G60" i="60"/>
  <c r="G61" i="60"/>
  <c r="G62" i="60"/>
  <c r="G63" i="60"/>
  <c r="G64" i="60"/>
  <c r="G65" i="60"/>
  <c r="G66" i="60"/>
  <c r="G67" i="60"/>
  <c r="G68" i="60"/>
  <c r="G69" i="60"/>
  <c r="G70" i="60"/>
  <c r="G71" i="60"/>
  <c r="G74" i="60"/>
  <c r="G75" i="60"/>
  <c r="AF4" i="7"/>
  <c r="G36" i="60"/>
  <c r="G103" i="60"/>
  <c r="G104" i="60"/>
  <c r="G105" i="60"/>
  <c r="G106" i="60"/>
  <c r="G107" i="60"/>
  <c r="G108" i="60"/>
  <c r="G109" i="60"/>
  <c r="G110" i="60"/>
  <c r="G111" i="60"/>
  <c r="G112" i="60"/>
  <c r="G118" i="60"/>
  <c r="G125" i="60"/>
  <c r="B20" i="7"/>
  <c r="R90" i="32"/>
  <c r="R89" i="32"/>
  <c r="R79" i="32"/>
  <c r="R75" i="32"/>
  <c r="R76" i="32"/>
  <c r="R77" i="32"/>
  <c r="R78" i="32"/>
  <c r="R61" i="32"/>
  <c r="R62" i="32"/>
  <c r="R54" i="32"/>
  <c r="R53" i="32"/>
  <c r="R50" i="32"/>
  <c r="R49" i="32"/>
  <c r="R41" i="32"/>
  <c r="R43" i="32"/>
  <c r="R38" i="32"/>
  <c r="R37" i="32"/>
  <c r="R14" i="32"/>
  <c r="R15" i="32"/>
  <c r="R16" i="32"/>
  <c r="R17" i="32"/>
  <c r="R18" i="32"/>
  <c r="R19" i="32"/>
  <c r="R13" i="32"/>
  <c r="R9" i="32"/>
  <c r="R23" i="32"/>
  <c r="R27" i="32"/>
  <c r="R21" i="32"/>
  <c r="R24" i="32"/>
  <c r="R26" i="32"/>
  <c r="G15" i="60"/>
  <c r="R82" i="32"/>
  <c r="R83" i="32"/>
  <c r="R84" i="32"/>
  <c r="R86" i="32"/>
  <c r="R73" i="32"/>
  <c r="R69" i="32"/>
  <c r="R71" i="32"/>
  <c r="AF3" i="7"/>
  <c r="G38" i="60"/>
  <c r="G14" i="60"/>
  <c r="G40" i="60"/>
  <c r="G43" i="60"/>
  <c r="G46" i="60"/>
  <c r="G45" i="60"/>
  <c r="G47" i="60"/>
  <c r="R32" i="32"/>
  <c r="G48" i="60"/>
  <c r="C77" i="60"/>
  <c r="C82" i="60"/>
  <c r="C83" i="60"/>
  <c r="C86" i="60"/>
  <c r="C88" i="60"/>
  <c r="C89" i="60"/>
  <c r="C90" i="60"/>
  <c r="C91" i="60"/>
  <c r="C94" i="60"/>
  <c r="C95" i="60"/>
  <c r="C98" i="60"/>
  <c r="C101" i="60"/>
  <c r="C102" i="60"/>
  <c r="C103" i="60"/>
  <c r="C104" i="60"/>
  <c r="C105" i="60"/>
  <c r="C106" i="60"/>
  <c r="C107" i="60"/>
  <c r="C108" i="60"/>
  <c r="C109" i="60"/>
  <c r="C110" i="60"/>
  <c r="C111" i="60"/>
  <c r="C112" i="60"/>
  <c r="C113" i="60"/>
  <c r="C115" i="60"/>
  <c r="C116" i="60"/>
  <c r="C117" i="60"/>
  <c r="C118" i="60"/>
  <c r="C119" i="60"/>
  <c r="C120" i="60"/>
  <c r="C121" i="60"/>
  <c r="C122" i="60"/>
  <c r="C123" i="60"/>
  <c r="C125" i="60"/>
  <c r="C126" i="60"/>
  <c r="D77" i="60"/>
  <c r="D82" i="60"/>
  <c r="D83" i="60"/>
  <c r="D86" i="60"/>
  <c r="D88" i="60"/>
  <c r="D89" i="60"/>
  <c r="D90" i="60"/>
  <c r="D91" i="60"/>
  <c r="D94" i="60"/>
  <c r="D95" i="60"/>
  <c r="D98" i="60"/>
  <c r="D101" i="60"/>
  <c r="D102" i="60"/>
  <c r="D103" i="60"/>
  <c r="D104" i="60"/>
  <c r="D105" i="60"/>
  <c r="D106" i="60"/>
  <c r="D107" i="60"/>
  <c r="D108" i="60"/>
  <c r="D109" i="60"/>
  <c r="D110" i="60"/>
  <c r="D111" i="60"/>
  <c r="D112" i="60"/>
  <c r="D113" i="60"/>
  <c r="D115" i="60"/>
  <c r="D116" i="60"/>
  <c r="D117" i="60"/>
  <c r="D118" i="60"/>
  <c r="D119" i="60"/>
  <c r="D120" i="60"/>
  <c r="D121" i="60"/>
  <c r="D122" i="60"/>
  <c r="D123" i="60"/>
  <c r="D125" i="60"/>
  <c r="D126" i="60"/>
  <c r="B49" i="60"/>
  <c r="B53" i="60"/>
  <c r="B57" i="60"/>
  <c r="B58" i="60"/>
  <c r="B59" i="60"/>
  <c r="B60" i="60"/>
  <c r="B61" i="60"/>
  <c r="B62" i="60"/>
  <c r="B63" i="60"/>
  <c r="B64" i="60"/>
  <c r="B65" i="60"/>
  <c r="B66" i="60"/>
  <c r="B67" i="60"/>
  <c r="B68" i="60"/>
  <c r="B69" i="60"/>
  <c r="B70" i="60"/>
  <c r="B71" i="60"/>
  <c r="B72" i="60"/>
  <c r="B73" i="60"/>
  <c r="B74" i="60"/>
  <c r="B75" i="60"/>
  <c r="C49" i="60"/>
  <c r="C53" i="60"/>
  <c r="C57" i="60"/>
  <c r="C58" i="60"/>
  <c r="C59" i="60"/>
  <c r="C60" i="60"/>
  <c r="C61" i="60"/>
  <c r="C62" i="60"/>
  <c r="C63" i="60"/>
  <c r="C64" i="60"/>
  <c r="C65" i="60"/>
  <c r="C66" i="60"/>
  <c r="C67" i="60"/>
  <c r="C68" i="60"/>
  <c r="C69" i="60"/>
  <c r="C70" i="60"/>
  <c r="C71" i="60"/>
  <c r="C72" i="60"/>
  <c r="C73" i="60"/>
  <c r="C74" i="60"/>
  <c r="C75" i="60"/>
  <c r="D49" i="60"/>
  <c r="D53" i="60"/>
  <c r="D57" i="60"/>
  <c r="D58" i="60"/>
  <c r="D59" i="60"/>
  <c r="D60" i="60"/>
  <c r="D61" i="60"/>
  <c r="D62" i="60"/>
  <c r="D63" i="60"/>
  <c r="D64" i="60"/>
  <c r="D65" i="60"/>
  <c r="D66" i="60"/>
  <c r="D67" i="60"/>
  <c r="D68" i="60"/>
  <c r="D69" i="60"/>
  <c r="D70" i="60"/>
  <c r="D71" i="60"/>
  <c r="D72" i="60"/>
  <c r="D73" i="60"/>
  <c r="D74" i="60"/>
  <c r="D75" i="60"/>
  <c r="B10" i="60"/>
  <c r="B14" i="60"/>
  <c r="B17" i="60"/>
  <c r="B21" i="60"/>
  <c r="B25" i="60"/>
  <c r="B28" i="60"/>
  <c r="B29" i="60"/>
  <c r="B30" i="60"/>
  <c r="B31" i="60"/>
  <c r="B32" i="60"/>
  <c r="B33" i="60"/>
  <c r="B34" i="60"/>
  <c r="B35" i="60"/>
  <c r="B36" i="60"/>
  <c r="B37" i="60"/>
  <c r="B38" i="60"/>
  <c r="B39" i="60"/>
  <c r="B40" i="60"/>
  <c r="B41" i="60"/>
  <c r="B42" i="60"/>
  <c r="B43" i="60"/>
  <c r="B44" i="60"/>
  <c r="B45" i="60"/>
  <c r="B46" i="60"/>
  <c r="B47" i="60"/>
  <c r="C10" i="60"/>
  <c r="C14" i="60"/>
  <c r="C17" i="60"/>
  <c r="C21" i="60"/>
  <c r="C25" i="60"/>
  <c r="C28" i="60"/>
  <c r="C29" i="60"/>
  <c r="C30" i="60"/>
  <c r="C31" i="60"/>
  <c r="C32" i="60"/>
  <c r="C33" i="60"/>
  <c r="C34" i="60"/>
  <c r="C35" i="60"/>
  <c r="C36" i="60"/>
  <c r="C37" i="60"/>
  <c r="C38" i="60"/>
  <c r="C39" i="60"/>
  <c r="C40" i="60"/>
  <c r="C41" i="60"/>
  <c r="C42" i="60"/>
  <c r="C43" i="60"/>
  <c r="C44" i="60"/>
  <c r="C45" i="60"/>
  <c r="C46" i="60"/>
  <c r="C47" i="60"/>
  <c r="D10" i="60"/>
  <c r="D14" i="60"/>
  <c r="D17" i="60"/>
  <c r="D21" i="60"/>
  <c r="D25" i="60"/>
  <c r="D28" i="60"/>
  <c r="D29" i="60"/>
  <c r="D30" i="60"/>
  <c r="D31" i="60"/>
  <c r="D32" i="60"/>
  <c r="D33" i="60"/>
  <c r="D34" i="60"/>
  <c r="D35" i="60"/>
  <c r="D36" i="60"/>
  <c r="D37" i="60"/>
  <c r="D38" i="60"/>
  <c r="D39" i="60"/>
  <c r="D40" i="60"/>
  <c r="D41" i="60"/>
  <c r="D42" i="60"/>
  <c r="D43" i="60"/>
  <c r="D44" i="60"/>
  <c r="D45" i="60"/>
  <c r="D46" i="60"/>
  <c r="D47" i="60"/>
  <c r="D32" i="62"/>
  <c r="K32" i="32"/>
  <c r="L32" i="32" s="1"/>
  <c r="B84" i="67"/>
  <c r="B85" i="67"/>
  <c r="B86" i="67"/>
  <c r="B87" i="67"/>
  <c r="B88" i="67"/>
  <c r="K89" i="32"/>
  <c r="L89" i="32" s="1"/>
  <c r="K79" i="32"/>
  <c r="L79" i="32" s="1"/>
  <c r="K80" i="32"/>
  <c r="L80" i="32" s="1"/>
  <c r="K81" i="32"/>
  <c r="L81" i="32" s="1"/>
  <c r="K82" i="32"/>
  <c r="L82" i="32" s="1"/>
  <c r="K83" i="32"/>
  <c r="L83" i="32" s="1"/>
  <c r="K84" i="32"/>
  <c r="L84" i="32" s="1"/>
  <c r="K85" i="32"/>
  <c r="L85" i="32" s="1"/>
  <c r="K86" i="32"/>
  <c r="L86" i="32" s="1"/>
  <c r="K87" i="32"/>
  <c r="L87" i="32" s="1"/>
  <c r="K88" i="32"/>
  <c r="L88" i="32" s="1"/>
  <c r="K90" i="32"/>
  <c r="L90" i="32" s="1"/>
  <c r="AV33" i="32" l="1"/>
  <c r="AV6" i="32"/>
  <c r="R25" i="32"/>
  <c r="R29" i="32"/>
  <c r="R30" i="32"/>
  <c r="K21" i="32"/>
  <c r="L21" i="32" s="1"/>
  <c r="K8" i="32"/>
  <c r="K9" i="32"/>
  <c r="K10" i="32"/>
  <c r="K11" i="32"/>
  <c r="K12" i="32"/>
  <c r="K13" i="32"/>
  <c r="K14" i="32"/>
  <c r="K15" i="32"/>
  <c r="K16" i="32"/>
  <c r="K17" i="32"/>
  <c r="K18" i="32"/>
  <c r="K19" i="32"/>
  <c r="K20" i="32"/>
  <c r="K22" i="32"/>
  <c r="K23" i="32"/>
  <c r="K24" i="32"/>
  <c r="K25" i="32"/>
  <c r="K26" i="32"/>
  <c r="K27" i="32"/>
  <c r="K28" i="32"/>
  <c r="K29" i="32"/>
  <c r="K30" i="32"/>
  <c r="K31" i="32"/>
  <c r="B72" i="67"/>
  <c r="B83" i="67"/>
  <c r="B82" i="67"/>
  <c r="B81" i="67"/>
  <c r="B80" i="67"/>
  <c r="B79" i="67"/>
  <c r="B78" i="67"/>
  <c r="B77" i="67"/>
  <c r="B76" i="67"/>
  <c r="B75" i="67"/>
  <c r="B74" i="67"/>
  <c r="B73" i="67"/>
  <c r="B71" i="67"/>
  <c r="B70" i="67"/>
  <c r="B69" i="67"/>
  <c r="B68" i="67"/>
  <c r="B67" i="67"/>
  <c r="B66" i="67"/>
  <c r="B65" i="67"/>
  <c r="B64" i="67"/>
  <c r="B63" i="67"/>
  <c r="B62" i="67"/>
  <c r="B61" i="67"/>
  <c r="B60" i="67"/>
  <c r="B58" i="67"/>
  <c r="B56" i="67"/>
  <c r="B55" i="67"/>
  <c r="B54" i="67"/>
  <c r="B53" i="67"/>
  <c r="B52" i="67"/>
  <c r="B51" i="67"/>
  <c r="B50" i="67"/>
  <c r="B49" i="67"/>
  <c r="B48" i="67"/>
  <c r="B47" i="67"/>
  <c r="B46" i="67"/>
  <c r="B45" i="67"/>
  <c r="B44" i="67"/>
  <c r="B43" i="67"/>
  <c r="B42" i="67"/>
  <c r="B41" i="67"/>
  <c r="B40" i="67"/>
  <c r="B39" i="67"/>
  <c r="B38" i="67"/>
  <c r="B37" i="67"/>
  <c r="B36" i="67"/>
  <c r="B35" i="67"/>
  <c r="B34" i="67"/>
  <c r="B33" i="67"/>
  <c r="B32" i="67"/>
  <c r="B31" i="67"/>
  <c r="B30" i="67"/>
  <c r="B29" i="67"/>
  <c r="B28" i="67"/>
  <c r="B25" i="67"/>
  <c r="B24" i="67"/>
  <c r="B23" i="67"/>
  <c r="B20" i="67"/>
  <c r="B19" i="67"/>
  <c r="B18" i="67"/>
  <c r="B17" i="67"/>
  <c r="B16" i="67"/>
  <c r="B15" i="67"/>
  <c r="B14" i="67"/>
  <c r="B13" i="67"/>
  <c r="B12" i="67"/>
  <c r="B11" i="67"/>
  <c r="B10" i="67"/>
  <c r="B9" i="67"/>
  <c r="B8" i="67"/>
  <c r="B7" i="67"/>
  <c r="B6" i="67"/>
  <c r="B5" i="67"/>
  <c r="B4" i="67"/>
  <c r="B3" i="67"/>
  <c r="B2" i="67"/>
  <c r="R72" i="32" l="1"/>
  <c r="R70" i="32"/>
  <c r="R68" i="32"/>
  <c r="R67" i="32"/>
  <c r="R64" i="32"/>
  <c r="R48" i="32"/>
  <c r="R46" i="32"/>
  <c r="R45" i="32"/>
  <c r="R44" i="32"/>
  <c r="R42" i="32"/>
  <c r="R40" i="32"/>
  <c r="R39" i="32"/>
  <c r="R20" i="32"/>
  <c r="F27" i="66"/>
  <c r="F28" i="66" s="1"/>
  <c r="K47" i="32"/>
  <c r="L47" i="32" s="1"/>
  <c r="K48" i="32"/>
  <c r="L48" i="32" s="1"/>
  <c r="K49" i="32"/>
  <c r="L49" i="32" s="1"/>
  <c r="K50" i="32"/>
  <c r="L50" i="32" s="1"/>
  <c r="K51" i="32"/>
  <c r="L51" i="32" s="1"/>
  <c r="K52" i="32"/>
  <c r="L52" i="32" s="1"/>
  <c r="K53" i="32"/>
  <c r="L53" i="32" s="1"/>
  <c r="K54" i="32"/>
  <c r="L54" i="32" s="1"/>
  <c r="R27" i="66" l="1"/>
  <c r="R28" i="66" s="1"/>
  <c r="K75" i="32"/>
  <c r="L75" i="32" s="1"/>
  <c r="K76" i="32"/>
  <c r="L76" i="32" s="1"/>
  <c r="K39" i="32" l="1"/>
  <c r="L39" i="32" s="1"/>
  <c r="K40" i="32"/>
  <c r="L40" i="32" s="1"/>
  <c r="K41" i="32"/>
  <c r="L41" i="32" s="1"/>
  <c r="K42" i="32"/>
  <c r="L42" i="32" s="1"/>
  <c r="K43" i="32"/>
  <c r="L43" i="32" s="1"/>
  <c r="K44" i="32"/>
  <c r="L44" i="32" s="1"/>
  <c r="K45" i="32"/>
  <c r="L45" i="32" s="1"/>
  <c r="K46" i="32"/>
  <c r="L46" i="32" s="1"/>
  <c r="K74" i="32" l="1"/>
  <c r="L74" i="32" s="1"/>
  <c r="L16" i="32"/>
  <c r="L17" i="32"/>
  <c r="K67" i="32" l="1"/>
  <c r="L67" i="32" s="1"/>
  <c r="AU33" i="32"/>
  <c r="K7" i="32" l="1"/>
  <c r="L7" i="32" s="1"/>
  <c r="L8" i="32"/>
  <c r="L9" i="32"/>
  <c r="L10" i="32"/>
  <c r="L11" i="32"/>
  <c r="L12" i="32"/>
  <c r="L13" i="32"/>
  <c r="L14" i="32"/>
  <c r="L15" i="32"/>
  <c r="L18" i="32"/>
  <c r="L19" i="32"/>
  <c r="L20" i="32"/>
  <c r="L22" i="32"/>
  <c r="L23" i="32"/>
  <c r="L24" i="32"/>
  <c r="L25" i="32"/>
  <c r="L26" i="32"/>
  <c r="L27" i="32"/>
  <c r="L28" i="32"/>
  <c r="L29" i="32"/>
  <c r="L30" i="32"/>
  <c r="L31" i="32"/>
  <c r="AU6" i="32" l="1"/>
  <c r="AB95" i="32"/>
  <c r="AA95" i="32"/>
  <c r="N7" i="61"/>
  <c r="O7" i="61"/>
  <c r="P7" i="61"/>
  <c r="C20" i="7"/>
  <c r="D20" i="7"/>
  <c r="E20" i="7"/>
  <c r="F20" i="7"/>
  <c r="G20" i="7"/>
  <c r="H20" i="7"/>
  <c r="I20" i="7"/>
  <c r="J20" i="7"/>
  <c r="K20" i="7"/>
  <c r="L20" i="7"/>
  <c r="M20" i="7"/>
  <c r="N20" i="7"/>
  <c r="O20" i="7"/>
  <c r="P20" i="7"/>
  <c r="Q20" i="7"/>
  <c r="R20" i="7"/>
  <c r="S20" i="7"/>
  <c r="T20" i="7"/>
  <c r="U20" i="7"/>
  <c r="V20" i="7"/>
  <c r="W20" i="7"/>
  <c r="X20" i="7"/>
  <c r="Y20" i="7"/>
  <c r="Z20" i="7"/>
  <c r="AA20" i="7"/>
  <c r="AB4" i="7"/>
  <c r="AB5" i="7"/>
  <c r="AB6" i="7"/>
  <c r="AB7" i="7"/>
  <c r="AB8" i="7"/>
  <c r="AB9" i="7"/>
  <c r="AB10" i="7"/>
  <c r="AB11" i="7"/>
  <c r="AB12" i="7"/>
  <c r="AB13" i="7"/>
  <c r="AB14" i="7"/>
  <c r="AB15" i="7"/>
  <c r="AB16" i="7"/>
  <c r="AB17" i="7"/>
  <c r="AB18" i="7"/>
  <c r="AB19" i="7"/>
  <c r="AB3" i="7"/>
  <c r="AR95" i="32"/>
  <c r="AP95" i="32"/>
  <c r="AN95" i="32"/>
  <c r="AL95" i="32"/>
  <c r="AJ95" i="32"/>
  <c r="AH95" i="32"/>
  <c r="AF95" i="32"/>
  <c r="AD95" i="32"/>
  <c r="Z95" i="32"/>
  <c r="X95" i="32"/>
  <c r="V95" i="32"/>
  <c r="T95" i="32"/>
  <c r="B21" i="7" l="1"/>
  <c r="J95" i="32"/>
  <c r="CB77" i="32"/>
  <c r="CB67" i="32"/>
  <c r="CB68" i="32"/>
  <c r="CB69" i="32"/>
  <c r="CB70" i="32"/>
  <c r="CB71" i="32"/>
  <c r="CB72" i="32"/>
  <c r="CB73" i="32"/>
  <c r="CB78" i="32"/>
  <c r="AU55" i="32"/>
  <c r="K77" i="32"/>
  <c r="L77" i="32" s="1"/>
  <c r="K78" i="32"/>
  <c r="L78" i="32" s="1"/>
  <c r="AU91" i="32" l="1"/>
  <c r="CB55" i="32"/>
  <c r="CB33" i="32"/>
  <c r="CB22" i="32"/>
  <c r="CB23" i="32"/>
  <c r="CB24" i="32"/>
  <c r="CB25" i="32"/>
  <c r="CB26" i="32"/>
  <c r="CB27" i="32"/>
  <c r="CB28" i="32"/>
  <c r="CB29" i="32"/>
  <c r="CB30" i="32"/>
  <c r="CB31" i="32"/>
  <c r="CB34" i="32"/>
  <c r="CB35" i="32"/>
  <c r="CB36" i="32"/>
  <c r="CB37" i="32"/>
  <c r="CB38" i="32"/>
  <c r="CB56" i="32"/>
  <c r="CB57" i="32"/>
  <c r="CB58" i="32"/>
  <c r="CB59" i="32"/>
  <c r="CB60" i="32"/>
  <c r="CB61" i="32"/>
  <c r="CB62" i="32"/>
  <c r="CB63" i="32"/>
  <c r="CB64" i="32"/>
  <c r="CB65" i="32"/>
  <c r="CB66" i="32"/>
  <c r="CB92" i="32"/>
  <c r="CB93" i="32"/>
  <c r="CB94" i="32"/>
  <c r="CB8" i="32"/>
  <c r="CB9" i="32"/>
  <c r="CB10" i="32"/>
  <c r="CB11" i="32"/>
  <c r="CB12" i="32"/>
  <c r="CB13" i="32"/>
  <c r="CB14" i="32"/>
  <c r="CB15" i="32"/>
  <c r="CB17" i="32"/>
  <c r="CB18" i="32"/>
  <c r="CB19" i="32"/>
  <c r="CB20" i="32"/>
  <c r="CB7" i="32"/>
  <c r="F39" i="62"/>
  <c r="E39" i="62"/>
  <c r="G39" i="62" s="1"/>
  <c r="D39" i="62"/>
  <c r="C39" i="62"/>
  <c r="H39" i="62" s="1"/>
  <c r="B39" i="62"/>
  <c r="I39" i="62" s="1"/>
  <c r="F38" i="62"/>
  <c r="E38" i="62"/>
  <c r="G38" i="62" s="1"/>
  <c r="D38" i="62"/>
  <c r="C38" i="62"/>
  <c r="H38" i="62" s="1"/>
  <c r="B38" i="62"/>
  <c r="I38" i="62" s="1"/>
  <c r="F37" i="62"/>
  <c r="E37" i="62"/>
  <c r="G37" i="62" s="1"/>
  <c r="D37" i="62"/>
  <c r="C37" i="62"/>
  <c r="H37" i="62" s="1"/>
  <c r="B37" i="62"/>
  <c r="I37" i="62" s="1"/>
  <c r="F36" i="62"/>
  <c r="E36" i="62"/>
  <c r="G36" i="62" s="1"/>
  <c r="D36" i="62"/>
  <c r="C36" i="62"/>
  <c r="H36" i="62" s="1"/>
  <c r="B36" i="62"/>
  <c r="I36" i="62" s="1"/>
  <c r="F35" i="62"/>
  <c r="E35" i="62"/>
  <c r="G35" i="62" s="1"/>
  <c r="D35" i="62"/>
  <c r="C35" i="62"/>
  <c r="H35" i="62" s="1"/>
  <c r="B35" i="62"/>
  <c r="I35" i="62" s="1"/>
  <c r="F34" i="62"/>
  <c r="E34" i="62"/>
  <c r="G34" i="62" s="1"/>
  <c r="D34" i="62"/>
  <c r="C34" i="62"/>
  <c r="H34" i="62" s="1"/>
  <c r="B34" i="62"/>
  <c r="I34" i="62" s="1"/>
  <c r="F33" i="62"/>
  <c r="G33" i="62"/>
  <c r="D33" i="62"/>
  <c r="C33" i="62"/>
  <c r="H33" i="62" s="1"/>
  <c r="B33" i="62"/>
  <c r="I33" i="62" s="1"/>
  <c r="F32" i="62"/>
  <c r="G32" i="62"/>
  <c r="C32" i="62"/>
  <c r="H32" i="62" s="1"/>
  <c r="B32" i="62"/>
  <c r="I32" i="62" s="1"/>
  <c r="F31" i="62"/>
  <c r="D31" i="62"/>
  <c r="C31" i="62"/>
  <c r="H31" i="62" s="1"/>
  <c r="B31" i="62"/>
  <c r="I31" i="62" s="1"/>
  <c r="K30" i="62"/>
  <c r="J30" i="62"/>
  <c r="F30" i="62"/>
  <c r="D30" i="62"/>
  <c r="C30" i="62"/>
  <c r="H30" i="62" s="1"/>
  <c r="B30" i="62"/>
  <c r="I30" i="62" s="1"/>
  <c r="H26" i="62"/>
  <c r="I26" i="62"/>
  <c r="H25" i="62"/>
  <c r="I25" i="62"/>
  <c r="H24" i="62"/>
  <c r="I24" i="62"/>
  <c r="F23" i="62"/>
  <c r="C23" i="62"/>
  <c r="H23" i="62" s="1"/>
  <c r="B23" i="62"/>
  <c r="I23" i="62" s="1"/>
  <c r="F22" i="62"/>
  <c r="C22" i="62"/>
  <c r="H22" i="62" s="1"/>
  <c r="B22" i="62"/>
  <c r="I22" i="62" s="1"/>
  <c r="F21" i="62"/>
  <c r="D21" i="62"/>
  <c r="C21" i="62"/>
  <c r="H21" i="62" s="1"/>
  <c r="B21" i="62"/>
  <c r="I21" i="62" s="1"/>
  <c r="D20" i="62"/>
  <c r="C20" i="62"/>
  <c r="H20" i="62" s="1"/>
  <c r="B20" i="62"/>
  <c r="I20" i="62" s="1"/>
  <c r="D19" i="62"/>
  <c r="C19" i="62"/>
  <c r="H19" i="62" s="1"/>
  <c r="B19" i="62"/>
  <c r="I19" i="62" s="1"/>
  <c r="F18" i="62"/>
  <c r="D18" i="62"/>
  <c r="C18" i="62"/>
  <c r="H18" i="62" s="1"/>
  <c r="B18" i="62"/>
  <c r="I18" i="62" s="1"/>
  <c r="K17" i="62"/>
  <c r="J17" i="62"/>
  <c r="F17" i="62"/>
  <c r="D17" i="62"/>
  <c r="C17" i="62"/>
  <c r="H17" i="62" s="1"/>
  <c r="B17" i="62"/>
  <c r="I17" i="62" s="1"/>
  <c r="D5" i="62"/>
  <c r="D6" i="62"/>
  <c r="D7" i="62"/>
  <c r="D8" i="62"/>
  <c r="D9" i="62"/>
  <c r="D10" i="62"/>
  <c r="D11" i="62"/>
  <c r="D12" i="62"/>
  <c r="D13" i="62"/>
  <c r="D4" i="62"/>
  <c r="C5" i="62"/>
  <c r="C6" i="62"/>
  <c r="C7" i="62"/>
  <c r="C8" i="62"/>
  <c r="C9" i="62"/>
  <c r="C10" i="62"/>
  <c r="C11" i="62"/>
  <c r="C12" i="62"/>
  <c r="C13" i="62"/>
  <c r="C4" i="62"/>
  <c r="B5" i="62"/>
  <c r="B6" i="62"/>
  <c r="B7" i="62"/>
  <c r="B8" i="62"/>
  <c r="B9" i="62"/>
  <c r="B10" i="62"/>
  <c r="B11" i="62"/>
  <c r="B12" i="62"/>
  <c r="B13" i="62"/>
  <c r="B4" i="62"/>
  <c r="J27" i="66"/>
  <c r="J28" i="66" s="1"/>
  <c r="O27" i="66"/>
  <c r="O28" i="66" s="1"/>
  <c r="E27" i="66" l="1"/>
  <c r="B6" i="60"/>
  <c r="AV91" i="32" l="1"/>
  <c r="AV95" i="32" s="1"/>
  <c r="R93" i="32"/>
  <c r="R94" i="32"/>
  <c r="R92" i="32"/>
  <c r="AS95" i="32"/>
  <c r="S95" i="32"/>
  <c r="Q95" i="32"/>
  <c r="AV55" i="32"/>
  <c r="K68" i="32"/>
  <c r="L68" i="32" s="1"/>
  <c r="K69" i="32"/>
  <c r="L69" i="32" s="1"/>
  <c r="K70" i="32"/>
  <c r="L70" i="32" s="1"/>
  <c r="K71" i="32"/>
  <c r="L71" i="32" s="1"/>
  <c r="K72" i="32"/>
  <c r="L72" i="32" s="1"/>
  <c r="K73" i="32"/>
  <c r="L73" i="32" s="1"/>
  <c r="K57" i="32"/>
  <c r="L57" i="32" s="1"/>
  <c r="K58" i="32"/>
  <c r="L58" i="32" s="1"/>
  <c r="K59" i="32"/>
  <c r="L59" i="32" s="1"/>
  <c r="K60" i="32"/>
  <c r="L60" i="32" s="1"/>
  <c r="K61" i="32"/>
  <c r="L61" i="32" s="1"/>
  <c r="K62" i="32"/>
  <c r="L62" i="32" s="1"/>
  <c r="K63" i="32"/>
  <c r="L63" i="32" s="1"/>
  <c r="K64" i="32"/>
  <c r="L64" i="32" s="1"/>
  <c r="K65" i="32"/>
  <c r="L65" i="32" s="1"/>
  <c r="K66" i="32"/>
  <c r="L66" i="32" s="1"/>
  <c r="K56" i="32"/>
  <c r="L56" i="32" s="1"/>
  <c r="K38" i="32"/>
  <c r="L38" i="32" s="1"/>
  <c r="K37" i="32"/>
  <c r="L37" i="32" s="1"/>
  <c r="K35" i="32"/>
  <c r="L35" i="32" s="1"/>
  <c r="K36" i="32"/>
  <c r="L36" i="32" s="1"/>
  <c r="K34" i="32"/>
  <c r="L34" i="32" s="1"/>
  <c r="U27" i="66"/>
  <c r="U28" i="66" s="1"/>
  <c r="R95" i="32" l="1"/>
  <c r="F9" i="62" l="1"/>
  <c r="F11" i="62"/>
  <c r="F5" i="62"/>
  <c r="F13" i="62"/>
  <c r="F6" i="62"/>
  <c r="F4" i="62"/>
  <c r="F7" i="62"/>
  <c r="F8" i="62"/>
  <c r="F10" i="62"/>
  <c r="F12" i="62"/>
  <c r="T27" i="66" l="1"/>
  <c r="T28" i="66" s="1"/>
  <c r="H5" i="62"/>
  <c r="H6" i="62"/>
  <c r="H7" i="62"/>
  <c r="H8" i="62"/>
  <c r="H9" i="62"/>
  <c r="H10" i="62"/>
  <c r="H11" i="62"/>
  <c r="H12" i="62"/>
  <c r="H13" i="62"/>
  <c r="H4" i="62"/>
  <c r="I5" i="62"/>
  <c r="I6" i="62"/>
  <c r="I7" i="62"/>
  <c r="I8" i="62"/>
  <c r="I9" i="62"/>
  <c r="I10" i="62"/>
  <c r="I11" i="62"/>
  <c r="I12" i="62"/>
  <c r="I13" i="62"/>
  <c r="I4" i="62"/>
  <c r="K4" i="62"/>
  <c r="J4" i="62"/>
  <c r="E13" i="62"/>
  <c r="G13" i="62" s="1"/>
  <c r="E12" i="62"/>
  <c r="G12" i="62" s="1"/>
  <c r="E11" i="62"/>
  <c r="G11" i="62" s="1"/>
  <c r="E10" i="62"/>
  <c r="G10" i="62" s="1"/>
  <c r="E5" i="62"/>
  <c r="G5" i="62" s="1"/>
  <c r="E6" i="62"/>
  <c r="G6" i="62" s="1"/>
  <c r="E7" i="62"/>
  <c r="G7" i="62" s="1"/>
  <c r="E8" i="62"/>
  <c r="G8" i="62" s="1"/>
  <c r="E9" i="62"/>
  <c r="G9" i="62" s="1"/>
  <c r="G4" i="62"/>
  <c r="D6" i="60" l="1"/>
  <c r="C6" i="60"/>
  <c r="AQ95" i="32"/>
  <c r="W7" i="61"/>
  <c r="Q7" i="61"/>
  <c r="U7" i="61"/>
  <c r="X7" i="61"/>
  <c r="K7" i="61"/>
  <c r="L7" i="61"/>
  <c r="M7" i="61"/>
  <c r="R7" i="61"/>
  <c r="S7" i="61"/>
  <c r="T7" i="61"/>
  <c r="V7" i="61"/>
  <c r="J7" i="61"/>
  <c r="I7" i="61"/>
  <c r="H7" i="61"/>
  <c r="C7" i="61"/>
  <c r="U95" i="32"/>
  <c r="W95" i="32"/>
  <c r="Y95" i="32"/>
  <c r="AC95" i="32"/>
  <c r="AE95" i="32"/>
  <c r="AG95" i="32"/>
  <c r="AI95" i="32"/>
  <c r="AK95" i="32"/>
  <c r="AM95" i="32"/>
  <c r="AO95" i="32"/>
  <c r="K93" i="32"/>
  <c r="K94" i="32"/>
  <c r="K92" i="32"/>
  <c r="K95" i="32" l="1"/>
  <c r="L95" i="32"/>
  <c r="AT95" i="32"/>
  <c r="S27" i="66"/>
  <c r="S28" i="66" s="1"/>
  <c r="Q27" i="66"/>
  <c r="Q28" i="66" s="1"/>
  <c r="P27" i="66"/>
  <c r="P28" i="66" s="1"/>
  <c r="N27" i="66"/>
  <c r="N28" i="66" s="1"/>
  <c r="M27" i="66"/>
  <c r="M28" i="66" s="1"/>
  <c r="L27" i="66"/>
  <c r="L28" i="66" s="1"/>
  <c r="K27" i="66"/>
  <c r="K28" i="66" s="1"/>
  <c r="I27" i="66"/>
  <c r="I28" i="66" s="1"/>
  <c r="H27" i="66"/>
  <c r="H28" i="66" s="1"/>
  <c r="G27" i="66"/>
  <c r="G28" i="66" s="1"/>
  <c r="E28" i="66"/>
  <c r="AF8" i="7" l="1"/>
  <c r="AE20" i="7"/>
  <c r="AD20" i="7"/>
  <c r="AF5" i="7"/>
  <c r="AF6" i="7"/>
  <c r="AF7" i="7"/>
  <c r="AF9" i="7"/>
  <c r="AF10" i="7"/>
  <c r="AF17" i="7"/>
  <c r="AF18" i="7"/>
  <c r="AF19" i="7"/>
  <c r="AF11" i="7"/>
  <c r="AF12" i="7"/>
  <c r="AF13" i="7"/>
  <c r="AF14" i="7"/>
  <c r="AF15" i="7"/>
  <c r="AF16" i="7"/>
  <c r="AD2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tc={0946C926-CD80-42DB-B463-AD0B34E5851B}</author>
    <author>Planeador Comfandi</author>
  </authors>
  <commentList>
    <comment ref="B36" authorId="0" shapeId="0" xr:uid="{0946C926-CD80-42DB-B463-AD0B34E5851B}">
      <text>
        <t>[Threaded comment]
Your version of Excel allows you to read this threaded comment; however, any edits to it will get removed if the file is opened in a newer version of Excel. Learn more: https://go.microsoft.com/fwlink/?linkid=870924
Comment:
    SE MUEVE FECHA DE PROGRAMACION DEL 18 AL 20 SE ENVIA CORREO</t>
      </text>
    </comment>
    <comment ref="B73" authorId="1" shapeId="0" xr:uid="{836FFE72-6D1A-4B2F-814E-DD1C675DC70B}">
      <text>
        <r>
          <rPr>
            <b/>
            <sz val="9"/>
            <color indexed="81"/>
            <rFont val="Tahoma"/>
            <family val="2"/>
          </rPr>
          <t>Planeador Comfandi:</t>
        </r>
        <r>
          <rPr>
            <sz val="9"/>
            <color indexed="81"/>
            <rFont val="Tahoma"/>
            <family val="2"/>
          </rPr>
          <t xml:space="preserve">
*Intensidad visita: (3 dias/2 personas) mes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tc={D3254F90-A12C-4ECD-8345-96C846ADE40F}</author>
    <author>Planeador Comfandi</author>
  </authors>
  <commentList>
    <comment ref="A57" authorId="0" shapeId="0" xr:uid="{D3254F90-A12C-4ECD-8345-96C846ADE40F}">
      <text>
        <t>[Threaded comment]
Your version of Excel allows you to read this threaded comment; however, any edits to it will get removed if the file is opened in a newer version of Excel. Learn more: https://go.microsoft.com/fwlink/?linkid=870924
Comment:
    SE MUEVE FECHA DE PROGRAMACION DEL 18 AL 20 SE ENVIA CORREO</t>
      </text>
    </comment>
    <comment ref="A107" authorId="1" shapeId="0" xr:uid="{F9D458D1-1D3F-465E-BAC5-F8C11BEE8BF9}">
      <text>
        <r>
          <rPr>
            <b/>
            <sz val="9"/>
            <color indexed="81"/>
            <rFont val="Tahoma"/>
            <family val="2"/>
          </rPr>
          <t>Planeador Comfandi:</t>
        </r>
        <r>
          <rPr>
            <sz val="9"/>
            <color indexed="81"/>
            <rFont val="Tahoma"/>
            <family val="2"/>
          </rPr>
          <t xml:space="preserve">
*Intensidad visita: (3 dias/2 personas) mes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32" authorId="0" shapeId="0" xr:uid="{5029BA88-BC9A-485A-AC20-B50B894A50E2}">
      <text>
        <r>
          <rPr>
            <b/>
            <sz val="9"/>
            <color indexed="81"/>
            <rFont val="Tahoma"/>
            <family val="2"/>
          </rPr>
          <t>Planeador Comfandi:</t>
        </r>
        <r>
          <rPr>
            <sz val="9"/>
            <color indexed="81"/>
            <rFont val="Tahoma"/>
            <family val="2"/>
          </rPr>
          <t xml:space="preserve">
*Intensidad visita: (3 dias/2 personas) mes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81" authorId="0" shapeId="0" xr:uid="{912B76E6-9A44-451B-A51E-2099BE031504}">
      <text>
        <r>
          <rPr>
            <b/>
            <sz val="9"/>
            <color indexed="81"/>
            <rFont val="Tahoma"/>
            <family val="2"/>
          </rPr>
          <t>Planeador Comfandi:</t>
        </r>
        <r>
          <rPr>
            <sz val="9"/>
            <color indexed="81"/>
            <rFont val="Tahoma"/>
            <family val="2"/>
          </rPr>
          <t xml:space="preserve">
*Intensidad visita: (3 dias/2 personas) mes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31" authorId="0" shapeId="0" xr:uid="{1B0E3CB3-E013-4101-A157-296073C7C5B9}">
      <text>
        <r>
          <rPr>
            <b/>
            <sz val="9"/>
            <color indexed="81"/>
            <rFont val="Tahoma"/>
            <family val="2"/>
          </rPr>
          <t>Planeador Comfandi:</t>
        </r>
        <r>
          <rPr>
            <sz val="9"/>
            <color indexed="81"/>
            <rFont val="Tahoma"/>
            <family val="2"/>
          </rPr>
          <t xml:space="preserve">
Seguridad</t>
        </r>
      </text>
    </comment>
    <comment ref="A32" authorId="0" shapeId="0" xr:uid="{49D2FE15-B4F8-43BF-8E83-B1C59AD419FC}">
      <text>
        <r>
          <rPr>
            <b/>
            <sz val="9"/>
            <color indexed="81"/>
            <rFont val="Tahoma"/>
            <family val="2"/>
          </rPr>
          <t>Planeador Comfandi:</t>
        </r>
        <r>
          <rPr>
            <sz val="9"/>
            <color indexed="81"/>
            <rFont val="Tahoma"/>
            <family val="2"/>
          </rPr>
          <t xml:space="preserve">
Seguridad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U3" authorId="0" shapeId="0" xr:uid="{9109BDE0-E123-4558-8D95-613610446257}">
      <text>
        <r>
          <rPr>
            <sz val="9"/>
            <color indexed="81"/>
            <rFont val="Tahoma"/>
            <family val="2"/>
          </rPr>
          <t>De: Supervisor Valle 1 &lt;supervisorvalle1.comfandi@brillaseo.com&gt; 
Enviado el: viernes, 7 de marzo de 2025 8:23 p. m.
Para: 'Francy Lineidy Galeano Hoyos' &lt;francygaleano@comfandi.com.co&gt;; 'Vivians Fernanda Ramirez Ramirez' &lt;viviansramirez@comfandi.com.co&gt;; 'Jansen Loris Giraldo' &lt;jansengiraldo@comfandi.com.co&gt;; 'Carlos Humberto Posada Argüello' &lt;mantenimientotulua@comfandi.com.co&gt;
CC: 'Dany Fabian Alape Hernandez' &lt;dany.alape@brillaseo.co&gt;; 'Cesar Augusto Rovira Cabezas' &lt;cesar.rovira@brillaseo.com&gt;; Alejandro Marin Culcha &lt;planeador.comfandi@brillaseo.com&gt;; 'Auxiliaradmin2.comfandi' &lt;auxiliaradmin2.comfandi@brillaseo.com&gt;; 'auxiliaradmin4.comfandi' &lt;auxiliaradmin4.comfandi@brillaseo.com&gt;
 Asunto: planta y subestación eléctrica colegio el lago - Tuluá
¡Cordial Saludo! 
Se realiza entrega de formatos de inspeccionde equipos de la sede el colegio el lago tuluá y no se incluyen formatos para la inspección de planta y subestación eléctrica ya que la sede no cuentas con las mismas en funcionamiento.
Agradezco su atención; quedo atento a sus comentarios.
Gracias.
Atentamente,
JHON CASTRO 
Supervisor de Mantenimiento Comfandi Brillaseo SAS | 
ZV1 | Cartago | Tuluá | Buga | Buenaventura
* supervisorvalle1.comfandi@brillaseo.com 
8 http://www.brillaseo.com | https://www.facebook.com/Brillaseo/
) CEL: 318 330 7135 |   
) PBX: 602 552 3333 |   
F Calle 4 No. 42 - 104 | Barrio El Lido | Cali</t>
        </r>
      </text>
    </comment>
    <comment ref="U4" authorId="0" shapeId="0" xr:uid="{81E0ADE0-8DEE-4763-AAF2-889A1A546125}">
      <text>
        <r>
          <rPr>
            <sz val="9"/>
            <color indexed="81"/>
            <rFont val="Tahoma"/>
            <family val="2"/>
          </rPr>
          <t>De: Supervisor Valle 1 &lt;supervisorvalle1.comfandi@brillaseo.com&gt; 
Enviado el: viernes, 7 de marzo de 2025 8:23 p. m.
Para: 'Francy Lineidy Galeano Hoyos' &lt;francygaleano@comfandi.com.co&gt;; 'Vivians Fernanda Ramirez Ramirez' &lt;viviansramirez@comfandi.com.co&gt;; 'Jansen Loris Giraldo' &lt;jansengiraldo@comfandi.com.co&gt;; 'Carlos Humberto Posada Argüello' &lt;mantenimientotulua@comfandi.com.co&gt;
CC: 'Dany Fabian Alape Hernandez' &lt;dany.alape@brillaseo.co&gt;; 'Cesar Augusto Rovira Cabezas' &lt;cesar.rovira@brillaseo.com&gt;; Alejandro Marin Culcha &lt;planeador.comfandi@brillaseo.com&gt;; 'Auxiliaradmin2.comfandi' &lt;auxiliaradmin2.comfandi@brillaseo.com&gt;; 'auxiliaradmin4.comfandi' &lt;auxiliaradmin4.comfandi@brillaseo.com&gt;
 Asunto: planta y subestación eléctrica colegio el lago - Tuluá
¡Cordial Saludo! 
Se realiza entrega de formatos de inspeccionde equipos de la sede el colegio el lago tuluá y no se incluyen formatos para la inspección de planta y subestación eléctrica ya que la sede no cuentas con las mismas en funcionamiento.
Agradezco su atención; quedo atento a sus comentarios.
Gracias.
Atentamente,
JHON CASTRO 
Supervisor de Mantenimiento Comfandi Brillaseo SAS | 
ZV1 | Cartago | Tuluá | Buga | Buenaventura
* supervisorvalle1.comfandi@brillaseo.com 
8 http://www.brillaseo.com | https://www.facebook.com/Brillaseo/
) CEL: 318 330 7135 |   
) PBX: 602 552 3333 |   
F Calle 4 No. 42 - 104 | Barrio El Lido | Cali</t>
        </r>
      </text>
    </comment>
    <comment ref="G11" authorId="0" shapeId="0" xr:uid="{BBE9BA6B-BFA2-4995-9493-D155785AB464}">
      <text>
        <r>
          <rPr>
            <b/>
            <sz val="9"/>
            <color indexed="81"/>
            <rFont val="Tahoma"/>
            <family val="2"/>
          </rPr>
          <t xml:space="preserve">
Buen día 
Dentro de las inspecciones de ips Torres cada mes está solicitando la inspección de la bomba de vacío, pero en la sede no se encuentra este equipo por lo tanto no se puede realizar esta inspección.
Cordialmente,
Daniel Toro Acosta. 
Supervisor Zona Norte Cali, Yumbo y Palmira
Infraestructura y mantenimiento Comfandi
 Tel. 3164489579
 Dir. Calle 4 No. 42 – 104 | Barrio El Lido | Cali
  www.brillaseo.com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Planeador Comfandi</author>
  </authors>
  <commentList>
    <comment ref="A29" authorId="0" shapeId="0" xr:uid="{36107E33-71B1-453A-A48A-D90348AEBFC6}">
      <text>
        <r>
          <rPr>
            <b/>
            <sz val="9"/>
            <color indexed="81"/>
            <rFont val="Tahoma"/>
            <family val="2"/>
          </rPr>
          <t>Planeador Comfandi:
Los días asignados a esta sede se ejecutaran en el colegio El Prado.</t>
        </r>
      </text>
    </comment>
    <comment ref="A69" authorId="0" shapeId="0" xr:uid="{C7A43F14-C2B5-41DB-AFCC-B0ED229E88AD}">
      <text>
        <r>
          <rPr>
            <b/>
            <sz val="9"/>
            <color indexed="81"/>
            <rFont val="Tahoma"/>
            <family val="2"/>
          </rPr>
          <t>Planeador Comfandi:</t>
        </r>
        <r>
          <rPr>
            <sz val="9"/>
            <color indexed="81"/>
            <rFont val="Tahoma"/>
            <family val="2"/>
          </rPr>
          <t xml:space="preserve">
*Intensidad visita: (3 dias/2 personas) mes
</t>
        </r>
      </text>
    </comment>
  </commentList>
</comments>
</file>

<file path=xl/sharedStrings.xml><?xml version="1.0" encoding="utf-8"?>
<sst xmlns="http://schemas.openxmlformats.org/spreadsheetml/2006/main" count="8305" uniqueCount="1898">
  <si>
    <t>CRONOGRAMA DE MANTENIMIENTO PROGRAMADO JUNIO 2026</t>
  </si>
  <si>
    <t xml:space="preserve">Plan </t>
  </si>
  <si>
    <r>
      <rPr>
        <sz val="12"/>
        <color indexed="8"/>
        <rFont val="Calibri"/>
        <family val="2"/>
      </rPr>
      <t>%</t>
    </r>
    <r>
      <rPr>
        <sz val="11"/>
        <color indexed="8"/>
        <rFont val="Corbel"/>
        <family val="2"/>
      </rPr>
      <t xml:space="preserve"> </t>
    </r>
    <r>
      <rPr>
        <sz val="12"/>
        <color indexed="8"/>
        <rFont val="Calibri"/>
        <family val="2"/>
      </rPr>
      <t>completado</t>
    </r>
  </si>
  <si>
    <r>
      <rPr>
        <sz val="12"/>
        <color indexed="8"/>
        <rFont val="Calibri"/>
        <family val="2"/>
      </rPr>
      <t>%</t>
    </r>
    <r>
      <rPr>
        <sz val="11"/>
        <color indexed="8"/>
        <rFont val="Corbel"/>
        <family val="2"/>
      </rPr>
      <t xml:space="preserve"> </t>
    </r>
    <r>
      <rPr>
        <sz val="12"/>
        <color indexed="8"/>
        <rFont val="Calibri"/>
        <family val="2"/>
      </rPr>
      <t>Completo (más allá del plan)</t>
    </r>
  </si>
  <si>
    <t>Dia</t>
  </si>
  <si>
    <r>
      <rPr>
        <sz val="12"/>
        <color indexed="8"/>
        <rFont val="Calibri"/>
        <family val="2"/>
      </rPr>
      <t>Real</t>
    </r>
  </si>
  <si>
    <r>
      <rPr>
        <sz val="12"/>
        <color indexed="8"/>
        <rFont val="Calibri"/>
        <family val="2"/>
      </rPr>
      <t>Real (más allá del plan</t>
    </r>
    <r>
      <rPr>
        <sz val="11"/>
        <color indexed="8"/>
        <rFont val="Corbel"/>
        <family val="2"/>
      </rPr>
      <t>)</t>
    </r>
  </si>
  <si>
    <t>SEDES PROGRAMADAS</t>
  </si>
  <si>
    <t>RESPONSABLE</t>
  </si>
  <si>
    <t>CENTRO COSTO</t>
  </si>
  <si>
    <t>UBICACIÓN</t>
  </si>
  <si>
    <t>ACTIVO FIJO</t>
  </si>
  <si>
    <t>UES</t>
  </si>
  <si>
    <t>MODELO</t>
  </si>
  <si>
    <t>FRECUENCIA</t>
  </si>
  <si>
    <t>H/H  PROGRAMADAS</t>
  </si>
  <si>
    <t>H/H REALES</t>
  </si>
  <si>
    <t>DIFERENCIA</t>
  </si>
  <si>
    <t>FECHA INICIO</t>
  </si>
  <si>
    <t>FECHA FIN</t>
  </si>
  <si>
    <t>DURACION DIAS</t>
  </si>
  <si>
    <t>FECHA REAL DE EJECUCIÓN</t>
  </si>
  <si>
    <t>HORAS REALES EJ</t>
  </si>
  <si>
    <t>TOTAL AUTOGESTIONES</t>
  </si>
  <si>
    <t>Hidro. Sanit</t>
  </si>
  <si>
    <t>Tipo</t>
  </si>
  <si>
    <t>Elect</t>
  </si>
  <si>
    <t>M2</t>
  </si>
  <si>
    <t>O. Civil</t>
  </si>
  <si>
    <t>Apy-Log</t>
  </si>
  <si>
    <t>Horas</t>
  </si>
  <si>
    <t>Apy-Mtto</t>
  </si>
  <si>
    <t>Carp. Met</t>
  </si>
  <si>
    <t>Chap-Llav</t>
  </si>
  <si>
    <t>Carp. Mad</t>
  </si>
  <si>
    <t>Pint</t>
  </si>
  <si>
    <t>Ad. Ofic</t>
  </si>
  <si>
    <t>Cubiert</t>
  </si>
  <si>
    <t>Señal</t>
  </si>
  <si>
    <t>Pers</t>
  </si>
  <si>
    <t>Aut. con Cobro</t>
  </si>
  <si>
    <t>Aut. sin Cobro</t>
  </si>
  <si>
    <t>PRE VISITA</t>
  </si>
  <si>
    <t>%</t>
  </si>
  <si>
    <t xml:space="preserve">1 Semana </t>
  </si>
  <si>
    <t xml:space="preserve">2 Semana </t>
  </si>
  <si>
    <t xml:space="preserve">3 Semana </t>
  </si>
  <si>
    <t xml:space="preserve">4 Semana </t>
  </si>
  <si>
    <t>CUMP</t>
  </si>
  <si>
    <t>ÍNDICE</t>
  </si>
  <si>
    <t>L</t>
  </si>
  <si>
    <t>M</t>
  </si>
  <si>
    <t>J</t>
  </si>
  <si>
    <t>V</t>
  </si>
  <si>
    <t>S</t>
  </si>
  <si>
    <t>D</t>
  </si>
  <si>
    <t>ZONA-NORTE</t>
  </si>
  <si>
    <t>Edificio Comfandi El Prado</t>
  </si>
  <si>
    <t>Bryan A. Urbano</t>
  </si>
  <si>
    <t>A010010219</t>
  </si>
  <si>
    <t>Cali</t>
  </si>
  <si>
    <t>ADMINISTRATIVO</t>
  </si>
  <si>
    <t>In House</t>
  </si>
  <si>
    <t>Permanente</t>
  </si>
  <si>
    <t>1,2,3,4,5,6,9,10,11,12,13,16,17,18,19,20,</t>
  </si>
  <si>
    <t>X</t>
  </si>
  <si>
    <t>F</t>
  </si>
  <si>
    <t>Colegio El Prado Sede Bachillerato</t>
  </si>
  <si>
    <t>E010010205</t>
  </si>
  <si>
    <t>EDUCACION</t>
  </si>
  <si>
    <t>1,2,3,4,5,9,10,11,12,16,17,18,19,</t>
  </si>
  <si>
    <t>x</t>
  </si>
  <si>
    <t>Ips Comfandi El Prado</t>
  </si>
  <si>
    <t>S010010205</t>
  </si>
  <si>
    <t>SALUD</t>
  </si>
  <si>
    <t>Centro Campestre Comfandi Arroyohondo</t>
  </si>
  <si>
    <t>Hans Blake Salas Millan</t>
  </si>
  <si>
    <t>R010210205</t>
  </si>
  <si>
    <t>Yumbo</t>
  </si>
  <si>
    <t>RECREACION</t>
  </si>
  <si>
    <t>Colegio Yumbo</t>
  </si>
  <si>
    <t>E010030205</t>
  </si>
  <si>
    <t>1,2,3,4,5,9,10,11,12,13,16,17,18,19,20,</t>
  </si>
  <si>
    <t>Ips Comfandi Torres</t>
  </si>
  <si>
    <t>S010140205</t>
  </si>
  <si>
    <t>Drogueria Av. 6 La Flora 2</t>
  </si>
  <si>
    <t>M012070213</t>
  </si>
  <si>
    <t>MERCADEO</t>
  </si>
  <si>
    <t>Móvil</t>
  </si>
  <si>
    <t>Bimestral</t>
  </si>
  <si>
    <t>Drogueria Av. Sexta</t>
  </si>
  <si>
    <t>M010360213</t>
  </si>
  <si>
    <t>Droguería Centenario</t>
  </si>
  <si>
    <t>M011410213</t>
  </si>
  <si>
    <t>Drogueria Chipichape</t>
  </si>
  <si>
    <t>M011680213</t>
  </si>
  <si>
    <t>Drogueria Clinica de Occidente</t>
  </si>
  <si>
    <t>M011930213</t>
  </si>
  <si>
    <t>Drogueria Clinica Remedios</t>
  </si>
  <si>
    <t>M010410213</t>
  </si>
  <si>
    <t>Drogueria El Prado</t>
  </si>
  <si>
    <t>M010321701</t>
  </si>
  <si>
    <t>Drogueria La Flora</t>
  </si>
  <si>
    <t>M011080213</t>
  </si>
  <si>
    <t>Ips Comfandi Yumbo</t>
  </si>
  <si>
    <t>S010030205</t>
  </si>
  <si>
    <t>Mensual</t>
  </si>
  <si>
    <t>1,2,3,4,5,6,9,10,11,</t>
  </si>
  <si>
    <t>Colegio Municipal</t>
  </si>
  <si>
    <t>E010600205</t>
  </si>
  <si>
    <t>12,13,16,17,18,19,20,</t>
  </si>
  <si>
    <t>Colegio Las Delicias</t>
  </si>
  <si>
    <t>E010190205</t>
  </si>
  <si>
    <t>Ips Comfandi Alameda</t>
  </si>
  <si>
    <t>S010080205</t>
  </si>
  <si>
    <t>Colegio Miraflores Sede Bachillerato</t>
  </si>
  <si>
    <t>E010620205</t>
  </si>
  <si>
    <t>12,13,16,17,18,19,20,22,23,24,25,</t>
  </si>
  <si>
    <t>Campus E Centro</t>
  </si>
  <si>
    <t>E010050205</t>
  </si>
  <si>
    <t>Campus E Centro (Fomento Piso 3)</t>
  </si>
  <si>
    <t>12;13,</t>
  </si>
  <si>
    <t>Colegio Calipso</t>
  </si>
  <si>
    <t>E010020205</t>
  </si>
  <si>
    <t>16,17,18,19,20,22</t>
  </si>
  <si>
    <t>Colegio San Nicolas - Biblioteca - Auditorio</t>
  </si>
  <si>
    <t>E010040205</t>
  </si>
  <si>
    <t>Ips Comfandi San Nicolas</t>
  </si>
  <si>
    <t>S010160205</t>
  </si>
  <si>
    <t>IETDH San Nicolas</t>
  </si>
  <si>
    <t>E010046105</t>
  </si>
  <si>
    <t>12,13,16,17,18,19,20,22,23,24,</t>
  </si>
  <si>
    <t>Colegio El Prado Sede Bachillerato (Móvil)</t>
  </si>
  <si>
    <t>ZONA-SUR</t>
  </si>
  <si>
    <t>Centro Campestre Comfandi Pance</t>
  </si>
  <si>
    <t>Andres Carrillo</t>
  </si>
  <si>
    <t>R010250205</t>
  </si>
  <si>
    <t xml:space="preserve">Cali </t>
  </si>
  <si>
    <t>Clinica Comfandi Tequendama</t>
  </si>
  <si>
    <t>S010120205</t>
  </si>
  <si>
    <t>1,2,3,4,5,6,9,10,11,12,13,165,17,18,19,20,</t>
  </si>
  <si>
    <t>Laboratorio Especializado</t>
  </si>
  <si>
    <t>18,19,20,</t>
  </si>
  <si>
    <t>Drogueria Cañas Gordas</t>
  </si>
  <si>
    <t>M011501701</t>
  </si>
  <si>
    <t>Droguería Cañaveralejo</t>
  </si>
  <si>
    <t>M011360213</t>
  </si>
  <si>
    <t>16</t>
  </si>
  <si>
    <t>Drogueria Cerros Plaza</t>
  </si>
  <si>
    <t>M011610213</t>
  </si>
  <si>
    <t>Drogueria Clinica Vida</t>
  </si>
  <si>
    <t>M012220213</t>
  </si>
  <si>
    <t>Drogueria Cll 25 EDS Caney</t>
  </si>
  <si>
    <t>M011900213</t>
  </si>
  <si>
    <t>Drogueria Morichal</t>
  </si>
  <si>
    <t>M010111701</t>
  </si>
  <si>
    <t>Drogueria Podium</t>
  </si>
  <si>
    <t>M011910213</t>
  </si>
  <si>
    <t xml:space="preserve">Drogueria San Fernando </t>
  </si>
  <si>
    <t>M010101701</t>
  </si>
  <si>
    <t>Drogueria San Joaquín</t>
  </si>
  <si>
    <t>M011440213</t>
  </si>
  <si>
    <t>Drogueria Supermercado Cosmocentro</t>
  </si>
  <si>
    <t>M012170213</t>
  </si>
  <si>
    <t>Drogueria Tequendama II</t>
  </si>
  <si>
    <t>M010500213</t>
  </si>
  <si>
    <t>23</t>
  </si>
  <si>
    <t>Drogueria Unicentro</t>
  </si>
  <si>
    <t>M011380213</t>
  </si>
  <si>
    <t>Drogueria Valle del Lili</t>
  </si>
  <si>
    <t>M010520213</t>
  </si>
  <si>
    <t>11</t>
  </si>
  <si>
    <t>Drogueria Valle del Lili II</t>
  </si>
  <si>
    <t>M011860213</t>
  </si>
  <si>
    <t>Ips Comfandi Morichal</t>
  </si>
  <si>
    <t>S010110205</t>
  </si>
  <si>
    <t>1,2,3,4,5,6,9,10,</t>
  </si>
  <si>
    <t>Ips Salud Integral Amiga</t>
  </si>
  <si>
    <t>S011460205</t>
  </si>
  <si>
    <t>11,12,13,16,17,</t>
  </si>
  <si>
    <t>Colegio Ciudadela (Sede Primaria de Miraflores)</t>
  </si>
  <si>
    <t>E010060205</t>
  </si>
  <si>
    <t>Colegio Terranova</t>
  </si>
  <si>
    <t>E010200205</t>
  </si>
  <si>
    <t>ZONA-VALLE 1</t>
  </si>
  <si>
    <t>Colegio Buga</t>
  </si>
  <si>
    <t>Sebastian andres padilla</t>
  </si>
  <si>
    <t>E030020205</t>
  </si>
  <si>
    <t>Buga</t>
  </si>
  <si>
    <t>1,2,3,4,5,6,9,10,11,12,13,16,17,18,19,20,22,23,24,</t>
  </si>
  <si>
    <t>Edificio Administración Buga</t>
  </si>
  <si>
    <t>A030010219</t>
  </si>
  <si>
    <t xml:space="preserve">Buga </t>
  </si>
  <si>
    <t>1,2,3,4,5,9,12,</t>
  </si>
  <si>
    <t>Ips Comfandi Buga</t>
  </si>
  <si>
    <t>S030010205</t>
  </si>
  <si>
    <t>6,10,11,13,16,17,18,19,20,22,23,</t>
  </si>
  <si>
    <t>IETDH Buenaventura</t>
  </si>
  <si>
    <t>E050010205</t>
  </si>
  <si>
    <t>Buenaventura</t>
  </si>
  <si>
    <t>1,2,3,4,5,6,9,10,11,12,13,16,17,18,</t>
  </si>
  <si>
    <t>Agencia de Gestión y Colocación de Empleo Buenaventura</t>
  </si>
  <si>
    <t xml:space="preserve">ORD500782 </t>
  </si>
  <si>
    <t>FOMENTO</t>
  </si>
  <si>
    <t>22,23,24,25,</t>
  </si>
  <si>
    <t>CIS Buenaventura</t>
  </si>
  <si>
    <t>A050010407</t>
  </si>
  <si>
    <t>19,20,</t>
  </si>
  <si>
    <t>Drogueria Buenaventura Bella Vista</t>
  </si>
  <si>
    <t>M050110213</t>
  </si>
  <si>
    <t>Colegio El Lago</t>
  </si>
  <si>
    <t>E040110205</t>
  </si>
  <si>
    <t>Tulua</t>
  </si>
  <si>
    <t>Biblioteca Colegio El Lago</t>
  </si>
  <si>
    <t>Clinica Comfandi Cartago</t>
  </si>
  <si>
    <t>S060020205</t>
  </si>
  <si>
    <t>Cartago</t>
  </si>
  <si>
    <t>1,2,3,4,5,6,9,10,11,12,13,16,17,18,19,</t>
  </si>
  <si>
    <t>Clinica e IPS Comfandi Palmira</t>
  </si>
  <si>
    <t>S020030205</t>
  </si>
  <si>
    <t xml:space="preserve">Palmira </t>
  </si>
  <si>
    <t>Drogueria Aeropuerto</t>
  </si>
  <si>
    <t>M011370213</t>
  </si>
  <si>
    <t>Drogueria Buga Principal</t>
  </si>
  <si>
    <t>M030011701</t>
  </si>
  <si>
    <t>Drogueria Bugalagrande</t>
  </si>
  <si>
    <t>M040131701</t>
  </si>
  <si>
    <t>Drogueria Carrera 35</t>
  </si>
  <si>
    <t>M040050213</t>
  </si>
  <si>
    <t>Drogueria Cartago Principal</t>
  </si>
  <si>
    <t>A060010219</t>
  </si>
  <si>
    <t>Centro Recreativo Buga</t>
  </si>
  <si>
    <t>R030060205</t>
  </si>
  <si>
    <t>1,2,3,4,5,9,10,</t>
  </si>
  <si>
    <t>Biblioteca Buga Adultos FTDH</t>
  </si>
  <si>
    <t>E030026005</t>
  </si>
  <si>
    <t>Agencia de Gestión y Colocación de Empleo Buga</t>
  </si>
  <si>
    <t>16,17,18,19,</t>
  </si>
  <si>
    <t>Agencia de Gestión y Colocación de Empleo Tuluá</t>
  </si>
  <si>
    <t>IETDH Alfonso Potes Roldan</t>
  </si>
  <si>
    <t>A040010224</t>
  </si>
  <si>
    <t>Edificio Administración Tuluá</t>
  </si>
  <si>
    <t>A040010219</t>
  </si>
  <si>
    <t>Centro Campestre Tulua</t>
  </si>
  <si>
    <t>R040070205</t>
  </si>
  <si>
    <t>RECREATIVO</t>
  </si>
  <si>
    <t>Ips Comfandi Tuluá</t>
  </si>
  <si>
    <t>S040060205</t>
  </si>
  <si>
    <t>1,2,3,4,5,6,9,10,11,13,</t>
  </si>
  <si>
    <t>Ips Comfandi Cartago</t>
  </si>
  <si>
    <t>S060010205</t>
  </si>
  <si>
    <t>1,2,3,4,5,6,9,10,11,12,</t>
  </si>
  <si>
    <t>Agencia de Gestión y Colocación de Empleo Palmira</t>
  </si>
  <si>
    <t>19,22,</t>
  </si>
  <si>
    <t>IETDH Palmira</t>
  </si>
  <si>
    <t>E020106101</t>
  </si>
  <si>
    <t>EDUCACIÓN</t>
  </si>
  <si>
    <t>23,24,</t>
  </si>
  <si>
    <t>Biblioteca escolar colegio palmira</t>
  </si>
  <si>
    <t>E020010205</t>
  </si>
  <si>
    <t>Biblioteca Florida</t>
  </si>
  <si>
    <t>Florida</t>
  </si>
  <si>
    <t>Biblioteca Pública Escolar El Cerrito</t>
  </si>
  <si>
    <t>E020040801</t>
  </si>
  <si>
    <t>El Cerrito</t>
  </si>
  <si>
    <t>17,18,</t>
  </si>
  <si>
    <t>Biblioteca Pública Escolar San Antonio de los Caballeros</t>
  </si>
  <si>
    <t>E020390801</t>
  </si>
  <si>
    <t>11,12,</t>
  </si>
  <si>
    <t>Colegio Palmira</t>
  </si>
  <si>
    <t>E020100205</t>
  </si>
  <si>
    <t>Edificio Sede Administrativa palmira</t>
  </si>
  <si>
    <t>A020010219</t>
  </si>
  <si>
    <t>ADMINISTRACIÓN</t>
  </si>
  <si>
    <t>1,2,5,9,12,16,19,22,25,</t>
  </si>
  <si>
    <t>IETDH Cartago</t>
  </si>
  <si>
    <t>E060010205</t>
  </si>
  <si>
    <t>Biblioteca Central Palmira</t>
  </si>
  <si>
    <t>3,4,10,11,17,18,23,24,</t>
  </si>
  <si>
    <t>ZONA-VALLE 3</t>
  </si>
  <si>
    <t>Centro Recreativo Comfandi Lago Calima</t>
  </si>
  <si>
    <t>R010640205</t>
  </si>
  <si>
    <t>Calima</t>
  </si>
  <si>
    <t>RECREACIÓN</t>
  </si>
  <si>
    <t>Centro Vacacional Comfandi Lago Calima</t>
  </si>
  <si>
    <t>R010240205</t>
  </si>
  <si>
    <t>Hostería Los Veleros</t>
  </si>
  <si>
    <t>R010280205</t>
  </si>
  <si>
    <t>TOTAL HORAS</t>
  </si>
  <si>
    <t>TOTAL JUNIO 82 SEDES</t>
  </si>
  <si>
    <t>ITEM</t>
  </si>
  <si>
    <t>SEDE COMFANDI</t>
  </si>
  <si>
    <t>CECOS</t>
  </si>
  <si>
    <t>ZONA</t>
  </si>
  <si>
    <t>CIUDAD</t>
  </si>
  <si>
    <t>SUPERVISOR</t>
  </si>
  <si>
    <t>VALLE1</t>
  </si>
  <si>
    <t xml:space="preserve">Movil </t>
  </si>
  <si>
    <t>NORTE</t>
  </si>
  <si>
    <t xml:space="preserve">Tuluá </t>
  </si>
  <si>
    <t>SUR</t>
  </si>
  <si>
    <t>CENTRO</t>
  </si>
  <si>
    <t>Jamundi</t>
  </si>
  <si>
    <t>Drogueria 24 horas Tuluá</t>
  </si>
  <si>
    <t>M040090213</t>
  </si>
  <si>
    <t>Drogueria Alfaguara</t>
  </si>
  <si>
    <t>M011670213</t>
  </si>
  <si>
    <t>Drogueria Aventura Plaza</t>
  </si>
  <si>
    <t>M011420213</t>
  </si>
  <si>
    <t>Droguería Bienestar Market Hospital Infantil Pasto</t>
  </si>
  <si>
    <t>M012100213</t>
  </si>
  <si>
    <t>Pasto</t>
  </si>
  <si>
    <t>Drogueria Buenos Aires</t>
  </si>
  <si>
    <t>M011430213</t>
  </si>
  <si>
    <t>Drogueria Buga – Parque Cabal</t>
  </si>
  <si>
    <t>M030050213</t>
  </si>
  <si>
    <t>Drogueria Buga Centro</t>
  </si>
  <si>
    <t>M030040213</t>
  </si>
  <si>
    <t>Drogueria Buga Estación</t>
  </si>
  <si>
    <t>M030150213</t>
  </si>
  <si>
    <t xml:space="preserve">Bugalagrande </t>
  </si>
  <si>
    <t>Droguería Callejón de las chuchas</t>
  </si>
  <si>
    <t>M011580213</t>
  </si>
  <si>
    <t>Drogueria CC Ciudad Jardin</t>
  </si>
  <si>
    <t>M012240213</t>
  </si>
  <si>
    <t>Drogueria CC Cristales Plaza</t>
  </si>
  <si>
    <t>M012491701</t>
  </si>
  <si>
    <t xml:space="preserve">Drogueria CC Jardin Plaza </t>
  </si>
  <si>
    <t>Drogueria CC Unicentro II</t>
  </si>
  <si>
    <t>M012290213</t>
  </si>
  <si>
    <t>Droguería CC Único Pasto</t>
  </si>
  <si>
    <t>M011980213</t>
  </si>
  <si>
    <t>Drogueria Ciudad Jardin II</t>
  </si>
  <si>
    <t>M011560213</t>
  </si>
  <si>
    <t>Droguería Gran Avenida Pasto</t>
  </si>
  <si>
    <t>M012020213</t>
  </si>
  <si>
    <t>Drogueria Holguines</t>
  </si>
  <si>
    <t>M011710213</t>
  </si>
  <si>
    <t>Drogueria Imbanaco Calle 5</t>
  </si>
  <si>
    <t>M011290213</t>
  </si>
  <si>
    <t>Drogueria Imbanaco Principal</t>
  </si>
  <si>
    <t>M010350213</t>
  </si>
  <si>
    <t>Drogueria La Martina</t>
  </si>
  <si>
    <t>M011400213</t>
  </si>
  <si>
    <t>Drogueria Desepaz</t>
  </si>
  <si>
    <t>M010491701</t>
  </si>
  <si>
    <t>Drogueria la Victoria</t>
  </si>
  <si>
    <t>M040330213</t>
  </si>
  <si>
    <t>Drogueria Llanogrande</t>
  </si>
  <si>
    <t>M020410213</t>
  </si>
  <si>
    <t>Droguería Melendez II</t>
  </si>
  <si>
    <t>M011520213</t>
  </si>
  <si>
    <t>Drogueria Minimarket Jamundi</t>
  </si>
  <si>
    <t>M011730213</t>
  </si>
  <si>
    <t>Drogueria Palma Real</t>
  </si>
  <si>
    <t>M020060213</t>
  </si>
  <si>
    <t>Droguería Palmetto</t>
  </si>
  <si>
    <t>M011450213</t>
  </si>
  <si>
    <t>Drogueria Plaza 70</t>
  </si>
  <si>
    <t>M011570213</t>
  </si>
  <si>
    <t xml:space="preserve">Drogueria La Merced </t>
  </si>
  <si>
    <t>M010091701</t>
  </si>
  <si>
    <t>Drogueria Santa Teresita</t>
  </si>
  <si>
    <t>M010540206</t>
  </si>
  <si>
    <t>Drogueria Urgencias Clinica Comfandi Palmira</t>
  </si>
  <si>
    <t>M020030213</t>
  </si>
  <si>
    <t xml:space="preserve">Drogueria Terminal </t>
  </si>
  <si>
    <t>M010511701</t>
  </si>
  <si>
    <t>Drogueria Torres de Comfandi</t>
  </si>
  <si>
    <t>M010141701</t>
  </si>
  <si>
    <t>Drogueria Unico</t>
  </si>
  <si>
    <t>M010450213</t>
  </si>
  <si>
    <t>Drogueria Vipasa</t>
  </si>
  <si>
    <t>M011890213</t>
  </si>
  <si>
    <t>Sede Administrativa Cartago</t>
  </si>
  <si>
    <t>ENTREGA DIARIA CHECK LIST MANTENIMIENTO PROGRAMADO</t>
  </si>
  <si>
    <t>DATOS GENERALES</t>
  </si>
  <si>
    <t>CANTIDAD AUTOGESTIONES-PILARES DE MANTENIMIENTO</t>
  </si>
  <si>
    <t>TIPO AUTOGESTIÓN</t>
  </si>
  <si>
    <t>SEDE</t>
  </si>
  <si>
    <t xml:space="preserve">SUPERVISOR </t>
  </si>
  <si>
    <t>C. COSTO</t>
  </si>
  <si>
    <t>FECHAS DE EJECUCIÓN</t>
  </si>
  <si>
    <t>HORAS EJECUTADAS</t>
  </si>
  <si>
    <t>CANTIDAD AUTOGESTIONES</t>
  </si>
  <si>
    <t>HID-SAN</t>
  </si>
  <si>
    <t>INS-ELE</t>
  </si>
  <si>
    <t>OBR-CIV</t>
  </si>
  <si>
    <t>M22</t>
  </si>
  <si>
    <t>APY-LOG</t>
  </si>
  <si>
    <t>APY-MTTO</t>
  </si>
  <si>
    <t xml:space="preserve">Horas </t>
  </si>
  <si>
    <t>CARP-MET</t>
  </si>
  <si>
    <t>Tipo3</t>
  </si>
  <si>
    <t>CHA-LLAV</t>
  </si>
  <si>
    <t>Tipo4</t>
  </si>
  <si>
    <t>CARP-MAD</t>
  </si>
  <si>
    <t>Tipo5</t>
  </si>
  <si>
    <t>PINT</t>
  </si>
  <si>
    <t>M26</t>
  </si>
  <si>
    <t>ADE-OFI</t>
  </si>
  <si>
    <t>Tipo7</t>
  </si>
  <si>
    <t>CUBI</t>
  </si>
  <si>
    <t>M28</t>
  </si>
  <si>
    <t>SEÑA</t>
  </si>
  <si>
    <t>Tipo9</t>
  </si>
  <si>
    <t>PERSIA</t>
  </si>
  <si>
    <t>Tipo10</t>
  </si>
  <si>
    <t>CON COBRO</t>
  </si>
  <si>
    <t>SIN COBRO</t>
  </si>
  <si>
    <t>N° CHECK LIST</t>
  </si>
  <si>
    <t>facilitador</t>
  </si>
  <si>
    <t>INDICE</t>
  </si>
  <si>
    <t>DRIVE</t>
  </si>
  <si>
    <t>GESTOR RESPONSABLE</t>
  </si>
  <si>
    <t>1,2,3,4,5,6,</t>
  </si>
  <si>
    <t>5049-5058-5060-5061-5062-5071</t>
  </si>
  <si>
    <t xml:space="preserve">por firma de gestor </t>
  </si>
  <si>
    <t>NO</t>
  </si>
  <si>
    <t>OK</t>
  </si>
  <si>
    <t>DIANA RAMOS/JOAQUIN DELGADO</t>
  </si>
  <si>
    <t>9,10,11,12,13,</t>
  </si>
  <si>
    <t>5193-5194-5195-5196-5198</t>
  </si>
  <si>
    <t>16,17,18,19,20</t>
  </si>
  <si>
    <t>5301-5304-5322-5311-5312</t>
  </si>
  <si>
    <t>1,2,3,4,5,</t>
  </si>
  <si>
    <t>4866-5037-4983-5032-5034</t>
  </si>
  <si>
    <t>FIRMADO</t>
  </si>
  <si>
    <t>BRAYAN ARDILA</t>
  </si>
  <si>
    <t>9,10,11,12,</t>
  </si>
  <si>
    <t>5230-5231-5262-5232</t>
  </si>
  <si>
    <t>5252-5253-5254-5286</t>
  </si>
  <si>
    <t>4921-4985-4986-4987-5076-5077</t>
  </si>
  <si>
    <t>ALBEIRO DURAN</t>
  </si>
  <si>
    <t>5119-5177-5178-5179-5180</t>
  </si>
  <si>
    <t>1,2,3,4,5,6</t>
  </si>
  <si>
    <t>5027-5036-5029-5035-5028-5044</t>
  </si>
  <si>
    <t>HERNANDO NARVAEZ</t>
  </si>
  <si>
    <t>5157-5158-5160-5161-5162</t>
  </si>
  <si>
    <t>16,17,18,19,20,</t>
  </si>
  <si>
    <t>5310-5316--5319-5323-5324</t>
  </si>
  <si>
    <t>4875-4933-4968-5006-5031</t>
  </si>
  <si>
    <t>9,10,11,12,13</t>
  </si>
  <si>
    <t>5075-5149-5159-5169-5167</t>
  </si>
  <si>
    <t>5206-5335-5336-5341-5342</t>
  </si>
  <si>
    <t>no</t>
  </si>
  <si>
    <t>4891-4980-4082-4984-5069-5084</t>
  </si>
  <si>
    <t>5058-5101-5138-5140</t>
  </si>
  <si>
    <t>5226-5227-5270-5283-5285</t>
  </si>
  <si>
    <t>CESAR FRANCO</t>
  </si>
  <si>
    <t>5046-5050-5051-5056-5057-5059-5098-5114-5117</t>
  </si>
  <si>
    <t>5368-5370-5373-5383-5387-5389-5391</t>
  </si>
  <si>
    <t>4968-4922-4968-4988-5011-5013-5078-5102-5120</t>
  </si>
  <si>
    <t xml:space="preserve"> </t>
  </si>
  <si>
    <t>4936-4955-49814-5005-5112-5113-5259-5260-5261</t>
  </si>
  <si>
    <t>5262-5263</t>
  </si>
  <si>
    <t>16,17,18,19,20,22,</t>
  </si>
  <si>
    <t>5266-5267-5269-5273-5327-5329</t>
  </si>
  <si>
    <t>5174-5175-5191-5203-5213-5216-5218-5220-5221</t>
  </si>
  <si>
    <t>5339-4343-4371-5372-5374-5375-5385-5386-5388-5390</t>
  </si>
  <si>
    <t>5045-5048-5052-5055-5065-5066</t>
  </si>
  <si>
    <t>5183-5185-5199-5200-5201</t>
  </si>
  <si>
    <t>5309-5320-5321-5326-5328</t>
  </si>
  <si>
    <t>5043-5047-5067-5068-5070</t>
  </si>
  <si>
    <t>YULIETH PULICHE</t>
  </si>
  <si>
    <t>6,9,10,11,12,13,</t>
  </si>
  <si>
    <t>5081-5217-5219-5222-5224-5225</t>
  </si>
  <si>
    <t>5332-5333-5334-5367-5366</t>
  </si>
  <si>
    <t>5264-5364-5363</t>
  </si>
  <si>
    <t>4492</t>
  </si>
  <si>
    <t>5129</t>
  </si>
  <si>
    <t>5074</t>
  </si>
  <si>
    <t>5235</t>
  </si>
  <si>
    <t>4</t>
  </si>
  <si>
    <t>4979</t>
  </si>
  <si>
    <t>5030</t>
  </si>
  <si>
    <t>4973</t>
  </si>
  <si>
    <t>5257</t>
  </si>
  <si>
    <t>5287</t>
  </si>
  <si>
    <t>22</t>
  </si>
  <si>
    <t>5234</t>
  </si>
  <si>
    <t>5358</t>
  </si>
  <si>
    <t>5103</t>
  </si>
  <si>
    <t>5197</t>
  </si>
  <si>
    <t>5104</t>
  </si>
  <si>
    <t>1,2,3,4,5,6,9,10</t>
  </si>
  <si>
    <t>5003-5054-5063-5064-5082-5122-5202-5265</t>
  </si>
  <si>
    <t>5123-5237-5297+5240-5243</t>
  </si>
  <si>
    <t>arnol</t>
  </si>
  <si>
    <t>4926-4928-5016-5017-5018-5019</t>
  </si>
  <si>
    <t>JORGE LONDOÑO</t>
  </si>
  <si>
    <t>5090-5111-5152-5154-5155</t>
  </si>
  <si>
    <t>5204-5228-5251-5288-5289</t>
  </si>
  <si>
    <t>22,23,24,</t>
  </si>
  <si>
    <t>1,2,3,4,5,09,12,</t>
  </si>
  <si>
    <t>4871-4929-4975-4995-5014-5073-5143</t>
  </si>
  <si>
    <t>6,10,11,14,16,17,</t>
  </si>
  <si>
    <t>5015-5109-5141-5144-5205-5247</t>
  </si>
  <si>
    <t>18,19,20,22,23,</t>
  </si>
  <si>
    <t>4877-4930-4974-4994-5020-5021</t>
  </si>
  <si>
    <t xml:space="preserve">ADMINISTRADOR </t>
  </si>
  <si>
    <t>9,10,11,12,13,16,17,18,</t>
  </si>
  <si>
    <t>5072-5110-5145-5146--5147-5207-5229-5250</t>
  </si>
  <si>
    <t>5365-5362-5402-5403</t>
  </si>
  <si>
    <t>5290-5291</t>
  </si>
  <si>
    <t>4946-4945-5086-5088-5024-5025</t>
  </si>
  <si>
    <t>CARLOS POSADA</t>
  </si>
  <si>
    <t>5408-5409-5187-5188-5189</t>
  </si>
  <si>
    <t>5238-5271-5272-5274-5281</t>
  </si>
  <si>
    <t>4942-4947-4999-5091-5092-5089</t>
  </si>
  <si>
    <t>WILLIAM RAIMREZ</t>
  </si>
  <si>
    <t>5108-5118-5186-5192-5190</t>
  </si>
  <si>
    <t>5040-5094-5095-5100-5096-5097</t>
  </si>
  <si>
    <t>JAIRO ARBOLEDA</t>
  </si>
  <si>
    <t>5127-5181-5182-5184-5275</t>
  </si>
  <si>
    <t>5277-5280-5284-5300-5351</t>
  </si>
  <si>
    <t>5970</t>
  </si>
  <si>
    <t>4923-4925-4972-4993-5038-5080-5105</t>
  </si>
  <si>
    <t>5121</t>
  </si>
  <si>
    <t>5354-5355-5356-5357</t>
  </si>
  <si>
    <t>4943-4949-4996-5087-5093-5107</t>
  </si>
  <si>
    <t>9,10,11,13,</t>
  </si>
  <si>
    <t>5245-5242-4244-5241</t>
  </si>
  <si>
    <t>5115-5125-5226-5128-5130-5131-5133-5134-5135-5124</t>
  </si>
  <si>
    <t>5282-5353</t>
  </si>
  <si>
    <t>5382-5381-</t>
  </si>
  <si>
    <t>5276</t>
  </si>
  <si>
    <t>5278-5279</t>
  </si>
  <si>
    <t>5132-5236</t>
  </si>
  <si>
    <t>4619-5008-5009-5010-5012-5083-5106</t>
  </si>
  <si>
    <t>1,2,5,09,12,16,19,</t>
  </si>
  <si>
    <t>5007-5039-5099-5137-5176-5296-5307-</t>
  </si>
  <si>
    <t>22,25,</t>
  </si>
  <si>
    <t>3,4,10,11,17,18,</t>
  </si>
  <si>
    <t>4889-5053-5139-5233-5303-5306</t>
  </si>
  <si>
    <t xml:space="preserve">Total </t>
  </si>
  <si>
    <t>Suma Parcial</t>
  </si>
  <si>
    <t>Suma Total</t>
  </si>
  <si>
    <t>Mtto y Reparación Hidro-Sanitario</t>
  </si>
  <si>
    <t>Mtto y Reparación Instalaciones Electricas</t>
  </si>
  <si>
    <t>Mtto y Reparación Obra Civil</t>
  </si>
  <si>
    <t>Apoyo Logistico</t>
  </si>
  <si>
    <t>Temas de Rutina de mantenimiento preventivo</t>
  </si>
  <si>
    <t>Mtto y Reparacion Carpinteria Metalica</t>
  </si>
  <si>
    <t>Mtto y Reparacion Chapas y Llaves</t>
  </si>
  <si>
    <t>Mtto y Reparacion Carpinteria  Madera</t>
  </si>
  <si>
    <t>Mtto Pinturas</t>
  </si>
  <si>
    <t>Adecuacion Oficina</t>
  </si>
  <si>
    <t>Mtto y Reparacion Cubiertas</t>
  </si>
  <si>
    <t>Señalización</t>
  </si>
  <si>
    <t>Mtto y Reparacion Persiana</t>
  </si>
  <si>
    <t>CONSOLIDADO RELACIONES DE ENTREGA MANTENIMIENTO PROGRAMADO</t>
  </si>
  <si>
    <t>N° ENTREGA</t>
  </si>
  <si>
    <t>FECHA DILIGENC.</t>
  </si>
  <si>
    <t xml:space="preserve">SUPERVISOR RESPONSABLE </t>
  </si>
  <si>
    <t>Q AUTOGEST.</t>
  </si>
  <si>
    <t>Total</t>
  </si>
  <si>
    <t>VA EN EL ADJUNTO</t>
  </si>
  <si>
    <t>DIRIGIDO A:</t>
  </si>
  <si>
    <t>CON COPIA A:</t>
  </si>
  <si>
    <t>sabado, 13 de junio 2026</t>
  </si>
  <si>
    <t>Ciudad</t>
  </si>
  <si>
    <t>Supervisor a Cargo</t>
  </si>
  <si>
    <t>Facilitador Comfandi</t>
  </si>
  <si>
    <t>Correo Sede</t>
  </si>
  <si>
    <t>Correo Facilitador</t>
  </si>
  <si>
    <t>CORREO UES</t>
  </si>
  <si>
    <t>SEGURIDAD CORPORATIVA</t>
  </si>
  <si>
    <t>CORREOS A NIVEL CENTRAL</t>
  </si>
  <si>
    <t>CORREOS BRILLASEO</t>
  </si>
  <si>
    <t>Jairo Arboleda</t>
  </si>
  <si>
    <t>viernes, 12 Junio de 2026</t>
  </si>
  <si>
    <t>Brayan Ardila</t>
  </si>
  <si>
    <t>cesarfranco@comfandi.com.co'</t>
  </si>
  <si>
    <t>Cesar Franco</t>
  </si>
  <si>
    <t>Arnol Urrego Angel</t>
  </si>
  <si>
    <t>Carlos Posada</t>
  </si>
  <si>
    <t>jueves, 11 junio 2026</t>
  </si>
  <si>
    <t>Albeiro Duran</t>
  </si>
  <si>
    <t>ZONA-CENTRO</t>
  </si>
  <si>
    <t>DIRECCIÓN</t>
  </si>
  <si>
    <t>CONTACTO PPL.</t>
  </si>
  <si>
    <t>CEL.</t>
  </si>
  <si>
    <t>CONTACTO SUPLENTE</t>
  </si>
  <si>
    <t>CEL.2</t>
  </si>
  <si>
    <t>CORREO  AREA</t>
  </si>
  <si>
    <t>Facilitador 
Comfandi</t>
  </si>
  <si>
    <t>Correo-Facilitador</t>
  </si>
  <si>
    <t>Telefono-facilitador</t>
  </si>
  <si>
    <t>Cr 23 # 26B-46</t>
  </si>
  <si>
    <t xml:space="preserve">Diana Maria Ramos </t>
  </si>
  <si>
    <t>3340000 EXT-2514</t>
  </si>
  <si>
    <t>dianaramos@comfandi.com.co</t>
  </si>
  <si>
    <t>Diana Maria Ramos - Jose Joaquin Delgado Granada</t>
  </si>
  <si>
    <t>dianaramos@comfandi.com.co;josedelgado@comfandi.com.co</t>
  </si>
  <si>
    <t>3176352332-321 7556027</t>
  </si>
  <si>
    <t>Cl 28 # 32-03 /05</t>
  </si>
  <si>
    <t>Maria del  Pilar Giraldo-CLAUDIA CASTILLO- LAIDY JANET GUAQUEX VALLEJO-</t>
  </si>
  <si>
    <t>Claudua castillo</t>
  </si>
  <si>
    <t>2705800 ext 37104</t>
  </si>
  <si>
    <t>pilargiraldo@comfandi.com.co;claudiacastillo@comfandi.com.co</t>
  </si>
  <si>
    <t>jairoarboleda@comfandi.com.co</t>
  </si>
  <si>
    <t>CALLE 5 #16-78</t>
  </si>
  <si>
    <t>LAIDY JANET GUAQUEX VALLEJO-</t>
  </si>
  <si>
    <t xml:space="preserve">TULIA EDITH MUNAR </t>
  </si>
  <si>
    <t>andreahernandez@comfandi.com.co</t>
  </si>
  <si>
    <t>Jorge Luis Londoño</t>
  </si>
  <si>
    <t>jorgelondono@comfandi.com.co</t>
  </si>
  <si>
    <t>Cl 26 # 21-20</t>
  </si>
  <si>
    <t>DANIELA NIETO</t>
  </si>
  <si>
    <t>Marcela Gutierez</t>
  </si>
  <si>
    <t>317-6486639</t>
  </si>
  <si>
    <t>cenobialoaiza@comfandi.com.co</t>
  </si>
  <si>
    <t>Carlos Humberto Posada</t>
  </si>
  <si>
    <t>mantenimientotulua@comfandi.com.co</t>
  </si>
  <si>
    <t>Cr 5 # 8-46</t>
  </si>
  <si>
    <t>Maria del  Pilar Giraldo</t>
  </si>
  <si>
    <t>Juliana Gallego</t>
  </si>
  <si>
    <t>3162953112  -  36304</t>
  </si>
  <si>
    <t>victoriavelasquez@comfandi.com.co;julianagallego@comfandi.com.co</t>
  </si>
  <si>
    <t>William A. Ramirez Yusti</t>
  </si>
  <si>
    <t>williamramirez@comfandi.com.co</t>
  </si>
  <si>
    <t>Cr 12 Carretera Central salida sur</t>
  </si>
  <si>
    <t>IDALIA CUERO</t>
  </si>
  <si>
    <t>DIANA MARIA CIFUENTES</t>
  </si>
  <si>
    <t>228 6416 – 237 5858</t>
  </si>
  <si>
    <t>directorcolegiobuga@comfandi.com.co; dianaarboleda@comfandi.com.co</t>
  </si>
  <si>
    <t>Brayan Andres Ardila Vasquez</t>
  </si>
  <si>
    <t>brayanardila@comfandi.com.co</t>
  </si>
  <si>
    <t>Cl 32A # 28-55 - 51</t>
  </si>
  <si>
    <t>Libardo de Jesus Diaz Cabrera</t>
  </si>
  <si>
    <t>DIEGO FERNANDO GIRON</t>
  </si>
  <si>
    <t>libardodiaz@comfandi.com.co;dianaarboleda@comfandi.com.co</t>
  </si>
  <si>
    <t>Biblioteca Chiminangos</t>
  </si>
  <si>
    <t>calle 23 con carrera 7 y 7 A</t>
  </si>
  <si>
    <t>Claudia Patricia Tamayo</t>
  </si>
  <si>
    <t>Claribel Buitrago</t>
  </si>
  <si>
    <t>317-2352678</t>
  </si>
  <si>
    <t>claudiatamayo@comfandi.com.co;dianaarboleda@comfandi.com.co</t>
  </si>
  <si>
    <t>Cr 21 Cl 9 esquina</t>
  </si>
  <si>
    <t>LORENA RIVAS HURTADO</t>
  </si>
  <si>
    <t>313 7173714</t>
  </si>
  <si>
    <t>libardodiaz@comfandi.com.co;lorenarivas@comfandi.com.co;dianaarboleda@comfandi.com.co</t>
  </si>
  <si>
    <t>Cl 8 # 12-44</t>
  </si>
  <si>
    <t>KAREN VALERIA VASQUEZ</t>
  </si>
  <si>
    <t>3146759986-311 3190268</t>
  </si>
  <si>
    <t>libardodiaz@comfandi.com.co;karenvalencia@comfandi.com.co;dianaarboleda@comfandi.com.co</t>
  </si>
  <si>
    <t>Urb Central Castilla Casa # 5 Correg San A</t>
  </si>
  <si>
    <t>CLAUDIA VANESSA MILLAN</t>
  </si>
  <si>
    <t>322 5414535</t>
  </si>
  <si>
    <t>Cl 8 # 6-23</t>
  </si>
  <si>
    <t>JULIAN COLORADO</t>
  </si>
  <si>
    <t>312 826 0075</t>
  </si>
  <si>
    <t>Sandra Patricia  Osorio,Jose Marino Rengifo</t>
  </si>
  <si>
    <t>3340000- ext-1320</t>
  </si>
  <si>
    <t>juliancolorado@comfandi.com.co;auxccultural@comfandi.com.co;dianaarboleda@comfandi.com.co</t>
  </si>
  <si>
    <t>Centro Desarrollo Infantil Rincón de Azucar (Cgto. El placer)</t>
  </si>
  <si>
    <t>Corregimiento El Placer Port de Comfandi</t>
  </si>
  <si>
    <t>LEIDY YOHANNA VILLADA RIAÑOS</t>
  </si>
  <si>
    <t>LUZ KARIME DÍAZ</t>
  </si>
  <si>
    <t>317 434 9175</t>
  </si>
  <si>
    <t>cdicerrito@comfandi.com.co;luzdiaz@comfandi.com.co;auxprimerainfancia@comfandi.com.co;dianaarboleda@comfandi.com.co</t>
  </si>
  <si>
    <t>directorcolegiobuga@comfandi.com.co;dianaarboleda@comfandi.com.co</t>
  </si>
  <si>
    <t>Cl 70 # 28D3-129</t>
  </si>
  <si>
    <t>ALVEIRO VELASCO CASTAÑO</t>
  </si>
  <si>
    <t>MARTHA CECILIA IDROBO ORTEGA</t>
  </si>
  <si>
    <t>4379485-4370593-3182575557</t>
  </si>
  <si>
    <t>colegiocalipso@comfandi.com.co; marycuellar@comfandi.com.co; secrecolegiocalipso@comfandi.com.co;dianaarboleda@comfandi.com.co</t>
  </si>
  <si>
    <t>Cl 34 # 83B-50</t>
  </si>
  <si>
    <t>María Angélica Parra V.</t>
  </si>
  <si>
    <t>Steven Dominguez Monsalve</t>
  </si>
  <si>
    <t>3323368-3184153724</t>
  </si>
  <si>
    <t>mariaangelicaparra@comfandi.com.co;auxacademicociudadela@comfandi.com.co;dianaarboleda@comfandi.com.co</t>
  </si>
  <si>
    <t>Cl 39A # 20A-21</t>
  </si>
  <si>
    <t>Angelita Gonzalez</t>
  </si>
  <si>
    <t>Leonardo Ortega</t>
  </si>
  <si>
    <t>317-6836322</t>
  </si>
  <si>
    <t>directoracolegiostulua@comfandi.com.co;dianaarboleda@comfandi.com.co</t>
  </si>
  <si>
    <t>Cr 23 # 26B-20</t>
  </si>
  <si>
    <t>MARITZA EUGENIA MEDINA GUTIERREZ</t>
  </si>
  <si>
    <t xml:space="preserve"> MAYERLIN HERNANDEZ URBANO</t>
  </si>
  <si>
    <t>maritzamedina@comfandi.com.co;dianaarboleda@comfandi.com.co</t>
  </si>
  <si>
    <t>Cr 5 # 36A-45</t>
  </si>
  <si>
    <t>EIBER ESCOBAR BECERRA</t>
  </si>
  <si>
    <r>
      <rPr>
        <sz val="9"/>
        <color rgb="FF000000"/>
        <rFont val="Calibri"/>
        <scheme val="minor"/>
      </rPr>
      <t>CLAUDIA FERNANDA CHAUX RODRÍGUEZ-</t>
    </r>
    <r>
      <rPr>
        <sz val="9"/>
        <color rgb="FFFF0000"/>
        <rFont val="Calibri"/>
      </rPr>
      <t>JULIAN ANDRES BETHANCOUR BRAVO</t>
    </r>
  </si>
  <si>
    <t xml:space="preserve"> LAURA MARCELA TIGREROS CARDENAS</t>
  </si>
  <si>
    <t>4421950- 3126388- 3165133951-3017431163</t>
  </si>
  <si>
    <t>colegiodelicias@comfandi.com.co; dianaarboleda@comfandi.com.co</t>
  </si>
  <si>
    <t>Cl 3 # 23B-18</t>
  </si>
  <si>
    <t xml:space="preserve">PAOLA ANDREA TORO LARGACHA </t>
  </si>
  <si>
    <t xml:space="preserve"> ELIANA MARYORY SANCHEZ CARDONA</t>
  </si>
  <si>
    <t>5560321-5568467-3165134295</t>
  </si>
  <si>
    <t>colegiomiraflores@comfandi.com.co;dianaarboleda@comfandi.com.co</t>
  </si>
  <si>
    <t>Cr 11 F # 33A-86</t>
  </si>
  <si>
    <t>CARLOS ANDRES CABALLERO MOLINA</t>
  </si>
  <si>
    <t>JESSICA RAMIREZ VALENCIA</t>
  </si>
  <si>
    <t xml:space="preserve">4421943 -3165133757- </t>
  </si>
  <si>
    <t>carloscaballero@comfandi.com.co;dianaarboleda@comfandi.com.co</t>
  </si>
  <si>
    <t>Cr 33A # 26-42</t>
  </si>
  <si>
    <t>Norma constanza soto Chicangana</t>
  </si>
  <si>
    <t>Yamilet Daza Herrera</t>
  </si>
  <si>
    <t>carlosmontoya@comfandi.com.co; miltonbotina@comfandi.com.co;dianaarboleda@comfandi.com.co</t>
  </si>
  <si>
    <t>Colegio Prados de Oriente (Sede Primaria El Prado)</t>
  </si>
  <si>
    <t>Cr 25B # 29-58</t>
  </si>
  <si>
    <t>MARIA STEFANI ZUÑIGA -Jackeline Castro Quintero</t>
  </si>
  <si>
    <t>JANETH LORENA ARCE FLOREZ-undefined [secrecolegioprados@comfandi.com.co]</t>
  </si>
  <si>
    <t>3348668-3184153721</t>
  </si>
  <si>
    <t>coordinadorcolegiopradosoriente@comfandi.com.co;dianaarboleda@comfandi.com.co</t>
  </si>
  <si>
    <t>Cr 7 # 21-04</t>
  </si>
  <si>
    <t>MONICA LEDESMA VARON</t>
  </si>
  <si>
    <t>6851414-3165133796</t>
  </si>
  <si>
    <t>carloscaballero@comfandi.com.co; oscarcastillo@comfandi.com.co;dianaarboleda@comfandi.com.co</t>
  </si>
  <si>
    <t>Cl 13B # 49 sur-30 Jamundi</t>
  </si>
  <si>
    <t>CLAUDIA VIVIANA TRUJILLO DUQUE</t>
  </si>
  <si>
    <t>MARISELA MOTTA OCAMPO</t>
  </si>
  <si>
    <t>5150129- 314 682 90 62</t>
  </si>
  <si>
    <t>directorcolegioterranova@comfandi.com.co;dianaarboleda@comfandi.com.co</t>
  </si>
  <si>
    <t>Cr 6 # 14-116</t>
  </si>
  <si>
    <t>CLAUDIA CHAUZ</t>
  </si>
  <si>
    <t>MONICA MORENO GUZMAN</t>
  </si>
  <si>
    <t>6693118 - 6691537</t>
  </si>
  <si>
    <t>colegioyumbo@comfandi.com.co; julianbetancourth@comfandi.com.co;dianaarboleda@comfandi.com.co</t>
  </si>
  <si>
    <t>Cr 37 # 28A-48</t>
  </si>
  <si>
    <t>NORHA INES BEDOYA</t>
  </si>
  <si>
    <t>YUDI MONDRAGON/MARISELA VARGAS</t>
  </si>
  <si>
    <t>2248808 - 2317460 - 3185007284</t>
  </si>
  <si>
    <t>norhabedoya@comfandi.com.co;dianaarboleda@comfandi.com.co</t>
  </si>
  <si>
    <t>Cr 2 #2-39 Piso 3</t>
  </si>
  <si>
    <t>CLAUDIA PATRICIA GRUESO RIASCOS</t>
  </si>
  <si>
    <t>MARIA FERNANDA LOPEZ ALVAREZ</t>
  </si>
  <si>
    <t>2412912 - 3176464734</t>
  </si>
  <si>
    <t>claudiagrueso@comfandi.com.co;dianaarboleda@comfandi.com.co</t>
  </si>
  <si>
    <t>Cr 4 # 13-99</t>
  </si>
  <si>
    <t>DORA LUCIA GUZMAN</t>
  </si>
  <si>
    <t>doraguzman@comfandi.com.co;dianaarboleda@comfandi.com.co</t>
  </si>
  <si>
    <t>IETDH Chiminangos</t>
  </si>
  <si>
    <t>Nhora Ines Bedoya Barrios</t>
  </si>
  <si>
    <t>Yudi A. mondragon</t>
  </si>
  <si>
    <t>318-5007284</t>
  </si>
  <si>
    <t>IETDH La Ventura</t>
  </si>
  <si>
    <t>Cr 18 # 18A-42</t>
  </si>
  <si>
    <t>JUAN CARLOS VALENCIA</t>
  </si>
  <si>
    <t>EXT-1870</t>
  </si>
  <si>
    <t>juancarlosvalenciah@gmail.com;dianaarboleda@comfandi.com.co</t>
  </si>
  <si>
    <t>Claudia Milena velez</t>
  </si>
  <si>
    <t>Lorena Bravo Rivera</t>
  </si>
  <si>
    <r>
      <t>PBX</t>
    </r>
    <r>
      <rPr>
        <sz val="14"/>
        <color rgb="FF404040"/>
        <rFont val="Calibri"/>
        <family val="2"/>
        <scheme val="minor"/>
      </rPr>
      <t xml:space="preserve">. </t>
    </r>
    <r>
      <rPr>
        <sz val="14"/>
        <color rgb="FF444444"/>
        <rFont val="Calibri"/>
        <family val="2"/>
        <scheme val="minor"/>
      </rPr>
      <t xml:space="preserve">4866565 </t>
    </r>
    <r>
      <rPr>
        <b/>
        <sz val="14"/>
        <color rgb="FF444444"/>
        <rFont val="Calibri"/>
        <family val="2"/>
        <scheme val="minor"/>
      </rPr>
      <t xml:space="preserve"> EXT </t>
    </r>
    <r>
      <rPr>
        <sz val="14"/>
        <color rgb="FF242424"/>
        <rFont val="Segoe UI"/>
        <family val="2"/>
      </rPr>
      <t>24650</t>
    </r>
  </si>
  <si>
    <t>leidybravo@comfandi.com.co;dianaarboleda@comfandi.com.co</t>
  </si>
  <si>
    <t>Cl 21 # 7-50</t>
  </si>
  <si>
    <t>MARY NELSY GONZALEZ TENORIO</t>
  </si>
  <si>
    <t>Jhon Fredy Hincapie</t>
  </si>
  <si>
    <t>jhonfredyhincapie@comfandi.com.co; miltonbotina@comfandi.com.co; oscarcastillo@comfandi.com.co;dianaarboleda@comfandi.com.co</t>
  </si>
  <si>
    <t>Unidad de Servicios Chiminangos</t>
  </si>
  <si>
    <t>DIAGONAL 22 TRANSVERSAL 7 Y 7A</t>
  </si>
  <si>
    <t>NORHA INES BEDOYA BARRIOS</t>
  </si>
  <si>
    <t>YUDI ANDREA MONDRAGON</t>
  </si>
  <si>
    <t>Alexis Rojas Ospina</t>
  </si>
  <si>
    <t>Nury A. Pulido J.</t>
  </si>
  <si>
    <t>317-2824912</t>
  </si>
  <si>
    <t>alexisrojasospina@comfandi.com.co; juanrocha@comfandi.com.co</t>
  </si>
  <si>
    <t>Agencia de Gestión y Colocación de Empleo Yumbo</t>
  </si>
  <si>
    <t>Cl 6 # 4-69</t>
  </si>
  <si>
    <t xml:space="preserve">Karen Murcia </t>
  </si>
  <si>
    <t xml:space="preserve">Edwin Tobar </t>
  </si>
  <si>
    <t>3340000 ext 41227</t>
  </si>
  <si>
    <t>karenmurcia@comfandi.com.co; dorianmarquez@comfandi.com.co; juanrocha@comfandi.com.co</t>
  </si>
  <si>
    <t>Cr 9 # 11-52</t>
  </si>
  <si>
    <t xml:space="preserve">Alejandro Aguirre </t>
  </si>
  <si>
    <t>Luz Jhoana Arismendi</t>
  </si>
  <si>
    <t>alejandroaguirre@comfandi.com.co; juanrocha@comfandi.com.co</t>
  </si>
  <si>
    <t>Cr 2 # 2-39</t>
  </si>
  <si>
    <t xml:space="preserve"> Miller Aleixo Braham Barco</t>
  </si>
  <si>
    <t>claudiagrueso@comfandi.com.co; mariafernandalopez@comfandi.com.co; juanrocha@comfandi.com.co</t>
  </si>
  <si>
    <t>Cl 32A # 28-03</t>
  </si>
  <si>
    <t>Diana  Carolina Lizalda Rosero</t>
  </si>
  <si>
    <t>2705800 ext 37020</t>
  </si>
  <si>
    <t>dianalizalda@comfandi.com.co; juanrocha@comfandi.com.co</t>
  </si>
  <si>
    <t>Supermercado Santa Rosa</t>
  </si>
  <si>
    <t xml:space="preserve">Clle 8 # 8-26 </t>
  </si>
  <si>
    <t>YULY EMILIA OVIEDO CRÚZ</t>
  </si>
  <si>
    <t>318-415-37-10</t>
  </si>
  <si>
    <t>8841198 -8841195</t>
  </si>
  <si>
    <t>SUPERSTAROSA@COMFANDI.COM.CO</t>
  </si>
  <si>
    <t>Drogueria Santa Rosa</t>
  </si>
  <si>
    <t>Cl 8 # 8-26</t>
  </si>
  <si>
    <t>DIANA FERNANDA GARCIA MORENO</t>
  </si>
  <si>
    <t>884 11 95</t>
  </si>
  <si>
    <t>drogueriasantarosa@comfandi.com.co</t>
  </si>
  <si>
    <t>Cesar Franco Giraldo</t>
  </si>
  <si>
    <t>cesarfranco@comfandi.com.co</t>
  </si>
  <si>
    <t>Supermercado Ciudadela</t>
  </si>
  <si>
    <t xml:space="preserve">Clle 83c # 30-31 </t>
  </si>
  <si>
    <t>ALBERTO OCAMPO VÁSQUEZ</t>
  </si>
  <si>
    <t>318-338-10-58</t>
  </si>
  <si>
    <t>3323391-3323369</t>
  </si>
  <si>
    <t>SUPERCIUDADELA@COMFANDI.COM.CO</t>
  </si>
  <si>
    <t>Hernando Narvaez</t>
  </si>
  <si>
    <t>hernandonarvaez@comfandi.com.co</t>
  </si>
  <si>
    <t>Drogueria Ciudadela</t>
  </si>
  <si>
    <t>ALBERTO PELAEZ LEON</t>
  </si>
  <si>
    <t>316 92 97</t>
  </si>
  <si>
    <t>drogueriaciudadela@comfandi.com.co</t>
  </si>
  <si>
    <t>Supermercado La Merced</t>
  </si>
  <si>
    <t>Av. 3Nt # 51N24</t>
  </si>
  <si>
    <t>GUSTAVO ADOLFO FORERO POLO</t>
  </si>
  <si>
    <t>317-437-04-17</t>
  </si>
  <si>
    <t>665 52 38 - 6661052 -6646853 -6650000</t>
  </si>
  <si>
    <t>SUPERLAMERCED@COMFANDI.COM.CO</t>
  </si>
  <si>
    <t>Jansen Loris Giraldo</t>
  </si>
  <si>
    <t xml:space="preserve"> jansengiraldo@comfandi.com.co</t>
  </si>
  <si>
    <t>322 8817201</t>
  </si>
  <si>
    <t>Av 3AN # 51N-56</t>
  </si>
  <si>
    <t>ELIZABETH LONDOÑO OSPINA</t>
  </si>
  <si>
    <t>666 10 52 - 665 00 00</t>
  </si>
  <si>
    <t>droguerialamerced@comfandi.com.co</t>
  </si>
  <si>
    <t xml:space="preserve">Cr 36 # 5-68 </t>
  </si>
  <si>
    <t>JENY PAOLA CUERO</t>
  </si>
  <si>
    <t>554 51 12</t>
  </si>
  <si>
    <t>drogueriasanfernando@comfandi.com.co</t>
  </si>
  <si>
    <t>Supermercado San Fernando</t>
  </si>
  <si>
    <t xml:space="preserve">Cra 36 # 5-68 </t>
  </si>
  <si>
    <t>JHON ANDERSON MELO</t>
  </si>
  <si>
    <t>5567688-5575907</t>
  </si>
  <si>
    <t>Albeiro Duran Jaimes</t>
  </si>
  <si>
    <t>gestionmecanicos@comfandi.com.co</t>
  </si>
  <si>
    <t>317 3318744</t>
  </si>
  <si>
    <t>Supermercado Morichal</t>
  </si>
  <si>
    <t>Clle 54 # 42B-21</t>
  </si>
  <si>
    <t>JORGE HERNAN ARBOLEDA MOLINA</t>
  </si>
  <si>
    <t>318 415 37 16</t>
  </si>
  <si>
    <t>3271922-3271913</t>
  </si>
  <si>
    <t>SUPERMERCADOMORICHAL@COMFANDI.COM.CO</t>
  </si>
  <si>
    <t>Cl 54 # 42B-21</t>
  </si>
  <si>
    <t>JONNY HERRERA SOTO</t>
  </si>
  <si>
    <t>338 17 10</t>
  </si>
  <si>
    <t>drogueriamorichal@comfandi.com.co</t>
  </si>
  <si>
    <t>Supermercado Torres de Comfandi</t>
  </si>
  <si>
    <t xml:space="preserve">Cra 1 # 56-20 </t>
  </si>
  <si>
    <t>JORGE HERNAN RINCON MEJIA</t>
  </si>
  <si>
    <t>318-415-36-85</t>
  </si>
  <si>
    <t>4291538 - 6657988 - 6646088 - 6646089 - 6646093</t>
  </si>
  <si>
    <t>SUPERTORRES@COMFANDI.COM.CO</t>
  </si>
  <si>
    <t xml:space="preserve">Cr 1 # 56-20 </t>
  </si>
  <si>
    <t>HERNAN FRANCO</t>
  </si>
  <si>
    <t xml:space="preserve">6657988 - 6646088 - 6646089 - 6646093  la  EXT.202 </t>
  </si>
  <si>
    <t>drogueriatorres@comfandi.com.co</t>
  </si>
  <si>
    <t>Drogueria Clinica Amiga</t>
  </si>
  <si>
    <t xml:space="preserve">Cl 18 # 69-65 La Hacienda </t>
  </si>
  <si>
    <t>TATIANA RODRÍGUEZ</t>
  </si>
  <si>
    <t>333 69 99   OPCIÓN 6 - Fijo 3395809</t>
  </si>
  <si>
    <t>drogueriaclinicaamiga@comfandi.com.co</t>
  </si>
  <si>
    <t>Supermercado Guadalupe</t>
  </si>
  <si>
    <t>Clle 10 # 56-05</t>
  </si>
  <si>
    <t xml:space="preserve">LUIS EVELIO   ARBELAEZ BETANCUR  </t>
  </si>
  <si>
    <t>317-636-55-83</t>
  </si>
  <si>
    <t>SUPERGUADALUPE@COMFANDI.COM.CO</t>
  </si>
  <si>
    <t xml:space="preserve">Drogueria Guadalupe </t>
  </si>
  <si>
    <t>Cl 10 # 56-05</t>
  </si>
  <si>
    <t>ERIKA VIRGEN</t>
  </si>
  <si>
    <t>331 94 00  Ext.  106  - 331 95 15</t>
  </si>
  <si>
    <t>drogueriaguadalupe@comfandi.com.co</t>
  </si>
  <si>
    <t>Supermercado Jamundi</t>
  </si>
  <si>
    <t>Cra 11 Clle 13 esquina</t>
  </si>
  <si>
    <t>CELSA MILDREY MELCHOR  C.</t>
  </si>
  <si>
    <t>317 367 65 45</t>
  </si>
  <si>
    <t xml:space="preserve">5161179 -5530478 </t>
  </si>
  <si>
    <t>SUPERJAMUNDI@COMFANDI.COM.CO</t>
  </si>
  <si>
    <t xml:space="preserve">Drogueria Jamundi </t>
  </si>
  <si>
    <t>CARRERA 11 con CALLE 13 ESQUINA</t>
  </si>
  <si>
    <t>CAROLINA FIGUEROA</t>
  </si>
  <si>
    <t>553 04 78</t>
  </si>
  <si>
    <t>drogueriajamundi@comfandi.com.co</t>
  </si>
  <si>
    <t>Supermercado El Prado</t>
  </si>
  <si>
    <t>Cra 23 # 26B46</t>
  </si>
  <si>
    <t>ESTHER JULIA ROJAS MOLINA</t>
  </si>
  <si>
    <t>317-660-95-78</t>
  </si>
  <si>
    <t xml:space="preserve">335 58 62  </t>
  </si>
  <si>
    <t>SUPERELPRADO@COMFANDI.COM.CO</t>
  </si>
  <si>
    <t>Jose Joaquin Delgado Granada</t>
  </si>
  <si>
    <t>josedelgado@comfandi.com.co</t>
  </si>
  <si>
    <t>321 7556027</t>
  </si>
  <si>
    <t xml:space="preserve">CARRERA 23 No. 26 B 46 </t>
  </si>
  <si>
    <t>KAREN CASTILLO</t>
  </si>
  <si>
    <t>334 00 00 Ext. 2051 - 2075 Directo 3364364</t>
  </si>
  <si>
    <t>drogueriaelprado@comfandi.com.co</t>
  </si>
  <si>
    <t>Centro de Distribución El Prado (CENDIS)</t>
  </si>
  <si>
    <t>Ramiro Fidel Rojas Herrera</t>
  </si>
  <si>
    <t>EXT-2092</t>
  </si>
  <si>
    <t>OCTAVIO GOMEZ</t>
  </si>
  <si>
    <t>3340000- EXT-2021</t>
  </si>
  <si>
    <t>ramirorojas@comfandi.com.co;octaviogomez@comfandi.com.co</t>
  </si>
  <si>
    <t>Diana Maria Ramos</t>
  </si>
  <si>
    <t>CRA 38A  5A100</t>
  </si>
  <si>
    <t>MARCELA BERMUDEZ GIRALDO</t>
  </si>
  <si>
    <t xml:space="preserve">556 76 84 - 557 04 74 </t>
  </si>
  <si>
    <t>imbanaco@comfandi.com.co</t>
  </si>
  <si>
    <t>AVDA. 6N    24N-108</t>
  </si>
  <si>
    <t>DIANA DOMINGUEZ</t>
  </si>
  <si>
    <t xml:space="preserve">896 4473 - 667 6868 </t>
  </si>
  <si>
    <t>drogueriaavsexta@comfandi.com.co</t>
  </si>
  <si>
    <t>AV. 2CN   24N-176</t>
  </si>
  <si>
    <t>LEISA MILENA GUTIERREZ</t>
  </si>
  <si>
    <t>3998440 - 3998444-3128151061</t>
  </si>
  <si>
    <t>droguerialosremedios@comfandi.com.co</t>
  </si>
  <si>
    <t>Drogueria Farallones</t>
  </si>
  <si>
    <t>Cl. 9C # 50-25 L.3 ALA A</t>
  </si>
  <si>
    <t>LILIANA SANTA</t>
  </si>
  <si>
    <t>513 59 48 - 487 81 23</t>
  </si>
  <si>
    <t>drogueriafarallones@comfandi.com.co</t>
  </si>
  <si>
    <t>Drogueria Surtifamiliar Alameda</t>
  </si>
  <si>
    <t>CL 9B # 23C65</t>
  </si>
  <si>
    <t>HAROLD DAVID BONILLA FRANCO</t>
  </si>
  <si>
    <t>5572311 - 5584789</t>
  </si>
  <si>
    <t>drogueriasurtifamiliar@comfandi.com.co</t>
  </si>
  <si>
    <t>CL 52 CRA 3 Y 4 L. 258</t>
  </si>
  <si>
    <t>BELSSI DORANGELA RICO ORDOÑEZ</t>
  </si>
  <si>
    <t>4398173- 6658713</t>
  </si>
  <si>
    <t>drogueriaunico@comfandi.com.co</t>
  </si>
  <si>
    <t>Drogueria El ingenio</t>
  </si>
  <si>
    <t>Cl. 16 No 85-42</t>
  </si>
  <si>
    <t>MAURICIO BARONA CHACON</t>
  </si>
  <si>
    <t>330 02 55 - 330 98 63 - 330 07 72</t>
  </si>
  <si>
    <t>rapitiendaelingenio@comfandi.com.co</t>
  </si>
  <si>
    <t xml:space="preserve">CRA 25 CL 121 ESQUINA  #121-42 </t>
  </si>
  <si>
    <t>SONIA GERTRUDIS QUIÑONEZ</t>
  </si>
  <si>
    <t xml:space="preserve">420 69 37 </t>
  </si>
  <si>
    <t>drogueriadesepaz@comfandi.com.co</t>
  </si>
  <si>
    <t>Supermercado Desepaz</t>
  </si>
  <si>
    <t xml:space="preserve">Cra 25 # 121-42 </t>
  </si>
  <si>
    <t>LUIS FERNANDO MILLAN MORENO</t>
  </si>
  <si>
    <t>317-657-31-53</t>
  </si>
  <si>
    <t>4206937-4206974-4206989-4206919</t>
  </si>
  <si>
    <t>SUPERDESEPAZ@COMFANDI.COM.CO</t>
  </si>
  <si>
    <t>Carrera 42 # 5E10</t>
  </si>
  <si>
    <t xml:space="preserve">JUAN CARLOS MENDEZ SANCHEZ  </t>
  </si>
  <si>
    <t xml:space="preserve">551 32 65 - 551 34 20   </t>
  </si>
  <si>
    <t>drogueriatequendama2@comfandi.com.co</t>
  </si>
  <si>
    <t>Supermercado La Terminal</t>
  </si>
  <si>
    <t>Clle 30N # 2A-29  Loc. 120-121</t>
  </si>
  <si>
    <t>FREDY ALBERTO GUTIERREZ ROJAS</t>
  </si>
  <si>
    <t>668 48 20 - 668 46 81- 668 53 56</t>
  </si>
  <si>
    <t>SUPERTERMINAL@COMFANDI.COM.CO</t>
  </si>
  <si>
    <t>CALLE 30N No. 2A - 29  LOCAL 120 - 121</t>
  </si>
  <si>
    <t>MARTHA CECILIA CORDOBA MOSQUERA</t>
  </si>
  <si>
    <t>413 94 59</t>
  </si>
  <si>
    <t>drogueriaterminal@comfandi.com.co</t>
  </si>
  <si>
    <t>AV.S.BOL. CRA. 98 18-49</t>
  </si>
  <si>
    <t>MARIA VICTORIA ROMERO</t>
  </si>
  <si>
    <t>drogueriavallelili@comfandi.com.co</t>
  </si>
  <si>
    <t>AVDA. COL. 5-281</t>
  </si>
  <si>
    <t>JOSE ALEJANDRO VASQUEZ</t>
  </si>
  <si>
    <t xml:space="preserve">892 65 64 - 892 65 98 </t>
  </si>
  <si>
    <t>rapitiendasantateresita@comfandi.com.co</t>
  </si>
  <si>
    <t>Drogueria Superinter Melendez</t>
  </si>
  <si>
    <t>Cra 94 # 4-89</t>
  </si>
  <si>
    <t xml:space="preserve">CONSUELO SERNA MARIN </t>
  </si>
  <si>
    <t>333 32 61 - 333 32 36</t>
  </si>
  <si>
    <t>drogueriamelendez@comfandi.com.co</t>
  </si>
  <si>
    <t>Proveeduria El Poblado</t>
  </si>
  <si>
    <t>CARRERA 28F No. 72L-79</t>
  </si>
  <si>
    <t>YEISON YARA FERNÁNDEZ</t>
  </si>
  <si>
    <t>317-369-20-42</t>
  </si>
  <si>
    <t>4268692-4269251</t>
  </si>
  <si>
    <t>proveeduriapoblado@comfandi.com.co</t>
  </si>
  <si>
    <t>Cl 52N # 5BN - 134</t>
  </si>
  <si>
    <t>FRANCY MERA PEÑA</t>
  </si>
  <si>
    <t>665 73 97</t>
  </si>
  <si>
    <t>droguerialaflora@comfandi.com.co</t>
  </si>
  <si>
    <t>Drogueria Alameda</t>
  </si>
  <si>
    <t>CALLE 5 No. 23B - 02</t>
  </si>
  <si>
    <t xml:space="preserve">LESLIE MARCELA VERNAZA QUINTERO     </t>
  </si>
  <si>
    <t>310 00 08</t>
  </si>
  <si>
    <t>drogueriaalameda@comfandi.com.co</t>
  </si>
  <si>
    <t>Drogueria Superinter Yumbo</t>
  </si>
  <si>
    <t>CL.15 # 5 - 100</t>
  </si>
  <si>
    <t>DIANA MARCELA MARTINEZ</t>
  </si>
  <si>
    <t>695 73 31</t>
  </si>
  <si>
    <t>drogsuperyumbointer@comfandi.com.co</t>
  </si>
  <si>
    <t>Drogueria Superinter Pasarela</t>
  </si>
  <si>
    <t>AV. 5 NORTE # 23 DN 40</t>
  </si>
  <si>
    <t>LUZ STELLA MONTOYA CRUZ</t>
  </si>
  <si>
    <t>890 21 98</t>
  </si>
  <si>
    <t>drogueriapasarela@comfandi.com.co</t>
  </si>
  <si>
    <t>Cl 5 # 38 B 105 L 102</t>
  </si>
  <si>
    <t>LEIDY JOHANA ARISTIZABAL TORRES</t>
  </si>
  <si>
    <t>5141449 - 5141586</t>
  </si>
  <si>
    <t>imbanacocallequinta@comfandi.com.co</t>
  </si>
  <si>
    <t>CL. 5 # 56 - 20 LOCAL 9</t>
  </si>
  <si>
    <t>MARILUZ PULGARÍN</t>
  </si>
  <si>
    <t>553 60 92</t>
  </si>
  <si>
    <t>drogcanaveralejo@comfandi.com.co</t>
  </si>
  <si>
    <t>Aeropuerto Alfonso Bonilla Aragón - Terminal 2 Local 234</t>
  </si>
  <si>
    <t>JULIANA ANDREA FANDIÑO ARCILA</t>
  </si>
  <si>
    <t>6663078 - 6663105 - 6663107</t>
  </si>
  <si>
    <t>drogueriaaeropuerto@comfandi.com.co</t>
  </si>
  <si>
    <t>CRA. 100 # 5-169 L.178 A</t>
  </si>
  <si>
    <t>EMILSEN SEGOVIA VELASCO</t>
  </si>
  <si>
    <t>3160248 - 5555501</t>
  </si>
  <si>
    <t>drogueriaunicentro@comfandi.com.co</t>
  </si>
  <si>
    <t>CRA 70 # 13B - 18</t>
  </si>
  <si>
    <t>JOSE IGNACIO CIFUENTES</t>
  </si>
  <si>
    <t>5558730 - 5558731</t>
  </si>
  <si>
    <t>droguerialamartina@comfandi.com.co</t>
  </si>
  <si>
    <t xml:space="preserve">Ave 4 Norte # 7N-46/64 L.102 </t>
  </si>
  <si>
    <t>DIANA MARCELA RODRIGUEZ</t>
  </si>
  <si>
    <t xml:space="preserve">3950068 - 3956974 </t>
  </si>
  <si>
    <t>drogcentenario@comfandi.com.co</t>
  </si>
  <si>
    <t>CRA 100 # 15A-71 L.100</t>
  </si>
  <si>
    <t>ANGIE GUZMAN</t>
  </si>
  <si>
    <t>3327795 - 5551552 - 5551564</t>
  </si>
  <si>
    <t>drogaventuraplaza@comfandi.com.co</t>
  </si>
  <si>
    <t>CRA 73 # 3-39</t>
  </si>
  <si>
    <t>ORLEANS FREDDY ANGULO PAYAN</t>
  </si>
  <si>
    <t>3238686-3230626-3233561</t>
  </si>
  <si>
    <t>drogbuenosaires@comfandi.com.co</t>
  </si>
  <si>
    <t>CALLE 25 # 85 B - 100</t>
  </si>
  <si>
    <t>ALBEIRO MINOTA OCORO</t>
  </si>
  <si>
    <t>drogsanjoaquin@comfandi.com.co</t>
  </si>
  <si>
    <t>CL.9 # 49-21 LOCAL 115 CENTRO COMERCIAL PALMETTO</t>
  </si>
  <si>
    <t xml:space="preserve">MAYERNI ORDOÑEZ PIMENTEL </t>
  </si>
  <si>
    <t>5550056-5550283-5550142</t>
  </si>
  <si>
    <t>drogueriapalmetto@comfandi.com.co</t>
  </si>
  <si>
    <t>Supermercado Cañas Gordas</t>
  </si>
  <si>
    <t>Calle 18 No. 114-20</t>
  </si>
  <si>
    <t>usbeny</t>
  </si>
  <si>
    <t>312 814 36 67</t>
  </si>
  <si>
    <t>555 37 98</t>
  </si>
  <si>
    <t>supercanasgordas@comfandi.com.co</t>
  </si>
  <si>
    <t>CALLE 18 # 114 B - 20</t>
  </si>
  <si>
    <t>CARLOS ALBERTO QUESADA</t>
  </si>
  <si>
    <t>YAMILETH</t>
  </si>
  <si>
    <t>drogcanasgordas@comfandi.com.co</t>
  </si>
  <si>
    <t>Droguería Brisas de los alamos (Cañaveral)</t>
  </si>
  <si>
    <t>Cl. 75 C # 2 A 100 Brisas de los Alamos</t>
  </si>
  <si>
    <t xml:space="preserve">JOSE ISRAEL PORTUGUEZ TRIBALDO </t>
  </si>
  <si>
    <t>6657464 - 6657521</t>
  </si>
  <si>
    <t>drogueriabrisas@comfandi.com.co</t>
  </si>
  <si>
    <t>CRA 94 # 4 - 75</t>
  </si>
  <si>
    <t>EDITH VICTORIA QUIÑONEZ LANDAZURI</t>
  </si>
  <si>
    <t>5529818 - 5529759 - 5529812</t>
  </si>
  <si>
    <t>drogueriamelendez2@comfandi.com.co</t>
  </si>
  <si>
    <t>Droguería Colon</t>
  </si>
  <si>
    <t>Cl. 14 # 38 A - 11</t>
  </si>
  <si>
    <t>EDWIN DANIEL PRECIADO ANGULO</t>
  </si>
  <si>
    <t>3365273 - 3365275</t>
  </si>
  <si>
    <t>drogueriacolon@comfandi.com.co</t>
  </si>
  <si>
    <t>Cl.18 # 106 - 46 Green's Plaza</t>
  </si>
  <si>
    <t>OLGA PATRICIA ESCOBAR</t>
  </si>
  <si>
    <t>5555234 - 5593045</t>
  </si>
  <si>
    <t>drogueriaciudadjardin2@comfandi.com.co</t>
  </si>
  <si>
    <t>Cra.70 # 1 B- 65 L. 10 - 11 Av.Los Chorros</t>
  </si>
  <si>
    <t>3397203 - 3398224 - 6575555</t>
  </si>
  <si>
    <t>drogueriaplaza70@comfandi.com.co</t>
  </si>
  <si>
    <t>Cra. 122 # 16 A - 18 L. 1 y 2</t>
  </si>
  <si>
    <t>PAULO CESAR BARRETO</t>
  </si>
  <si>
    <t>3339765 - 3339772</t>
  </si>
  <si>
    <t>drogcallejonchuchas@comfandi.com.co</t>
  </si>
  <si>
    <t>CALLE1 # 55B-141- LOCAL 4</t>
  </si>
  <si>
    <t xml:space="preserve">YULIEMA PAOLA TULCAN GUERRERO </t>
  </si>
  <si>
    <t>5528545-5550823</t>
  </si>
  <si>
    <t>drogueriacerrosplaza@comfandi.com.co</t>
  </si>
  <si>
    <t>Drogueria Paso Ancho Santodomingo</t>
  </si>
  <si>
    <t>calle13 # 44-39</t>
  </si>
  <si>
    <t>KARLA MARÍA NARANJO</t>
  </si>
  <si>
    <t>drogsantodomingo@comfandi.com.co</t>
  </si>
  <si>
    <t>CL.2 # 22 - 175 L.61,62 CENTRO COMERCIAL ALFAGUARA</t>
  </si>
  <si>
    <t>CARMEN JOHANA MOSQUERA</t>
  </si>
  <si>
    <t>5923522 - 5923526 - 5923519</t>
  </si>
  <si>
    <t>drogueriaalfaguara@comfandi.com.co</t>
  </si>
  <si>
    <t xml:space="preserve">Drogueria Chipichape </t>
  </si>
  <si>
    <t>Ave.6 A Norte # 37 n 25 L.2-15</t>
  </si>
  <si>
    <t>ANYI BIBIANA CUAICHAR GOYES</t>
  </si>
  <si>
    <t>6593162 - 6593146 - 6592763</t>
  </si>
  <si>
    <t>drogueriachipichape@comfandi.com.co</t>
  </si>
  <si>
    <t xml:space="preserve">Drogueria Limonar </t>
  </si>
  <si>
    <t>Cl. 9 # 65 A - 40</t>
  </si>
  <si>
    <t>LEONELA VALENCIA ALARCON</t>
  </si>
  <si>
    <t>5554765 - 5553169 - 5554908</t>
  </si>
  <si>
    <t>droguerialimonar@comfandi.com.co</t>
  </si>
  <si>
    <t xml:space="preserve">Drogueria Holguines </t>
  </si>
  <si>
    <t>CRA 100 # 11 - 60 Local 123</t>
  </si>
  <si>
    <t>WALTER ORTEGA</t>
  </si>
  <si>
    <t>3155230 - 3152143</t>
  </si>
  <si>
    <t>drogueriaholguines@comfandi.com.co</t>
  </si>
  <si>
    <t>Cra. 10 # 16 - 158 L.2</t>
  </si>
  <si>
    <t>5923540 - 5923541 - 5923593</t>
  </si>
  <si>
    <t>drogyminimarjamundi@comfandi.com.co</t>
  </si>
  <si>
    <t xml:space="preserve">Drogueria Reina Victoria </t>
  </si>
  <si>
    <t>Popayan</t>
  </si>
  <si>
    <t>Cl. 15 N # 5 - 18 Locales 107 y 108</t>
  </si>
  <si>
    <t>YINA FERNANDA DELGADO ANAYA</t>
  </si>
  <si>
    <t>8323999 - 8323998 - 8323997</t>
  </si>
  <si>
    <t>drogminimareinavic@comfandi.com.co</t>
  </si>
  <si>
    <t>Drogueria Caldas Calle Quinta</t>
  </si>
  <si>
    <t>Cl. 5 # 69 - 18 y 69-20</t>
  </si>
  <si>
    <t>DORA RINCON CAÑAVERAL</t>
  </si>
  <si>
    <t xml:space="preserve">3395537 - 3395563 - 3395421 </t>
  </si>
  <si>
    <t>drogcaldascallequinta@comfandi.com.co</t>
  </si>
  <si>
    <t xml:space="preserve">Drogueria Av. Sexta Granada </t>
  </si>
  <si>
    <t>Av. 6 # 17N -67</t>
  </si>
  <si>
    <t>Leonardo Izquierdo Cifuentes</t>
  </si>
  <si>
    <t>6684401-6684402</t>
  </si>
  <si>
    <t>drogueriasextagranada@comfandi.com.co</t>
  </si>
  <si>
    <t>Supermercado Principal Palmira</t>
  </si>
  <si>
    <t>Clle 32A # 28-03</t>
  </si>
  <si>
    <t>WILSON LEONARDO RUIZ CABRERA</t>
  </si>
  <si>
    <t>316-513-60-01</t>
  </si>
  <si>
    <t>2705800-2705854 ext. 37146-37154</t>
  </si>
  <si>
    <t>SUPERPALMIRA@COMFANDI.COM.CO</t>
  </si>
  <si>
    <t>Drogueria Centro Palmira</t>
  </si>
  <si>
    <t>CALLE 32 a # 28-03</t>
  </si>
  <si>
    <t>GLORIA EDILMA ARCILA</t>
  </si>
  <si>
    <t>270 58 71 - 270 00 80</t>
  </si>
  <si>
    <t>drogueriaprincipalpalmira@comfandi.com.co</t>
  </si>
  <si>
    <t>CL.32  # 22 - 00</t>
  </si>
  <si>
    <t>DIANA CAROLINA BELALCAZAR LIBREROS</t>
  </si>
  <si>
    <t>drogpalmirau@comfandi.com.co</t>
  </si>
  <si>
    <t>Supermercado Ginebra</t>
  </si>
  <si>
    <t>Ginebra</t>
  </si>
  <si>
    <t>Clle 5A  #1-58</t>
  </si>
  <si>
    <t>BALMORE SALCEDO HOLGUIN</t>
  </si>
  <si>
    <t>318 268 54 10</t>
  </si>
  <si>
    <t>SUPERGINEBRA@COMFANDI.COM.CO</t>
  </si>
  <si>
    <t>Drogueria Ginebra</t>
  </si>
  <si>
    <t xml:space="preserve">Ginebra </t>
  </si>
  <si>
    <t>CALLE 5  # 1 - 58</t>
  </si>
  <si>
    <t>MARIO GERMAN HERNANDEZ ESCOBAR</t>
  </si>
  <si>
    <t>256 10 36 - 256 16 95</t>
  </si>
  <si>
    <t>drogueriaginebra@comfandi.com.co</t>
  </si>
  <si>
    <t xml:space="preserve">CRA 28 # 44-73  L. 111B Y 112B </t>
  </si>
  <si>
    <t>GUIOVANI CABRERA VIEDMA</t>
  </si>
  <si>
    <t xml:space="preserve">270 7754   </t>
  </si>
  <si>
    <t>drogueriapalmareal@comfandi.com.co</t>
  </si>
  <si>
    <t>Drogueria Carrera 26</t>
  </si>
  <si>
    <t>CRA. 26  30 - 88</t>
  </si>
  <si>
    <t xml:space="preserve">HELMER SERRANO RIVERA  </t>
  </si>
  <si>
    <t>273 23 12</t>
  </si>
  <si>
    <t>drogueriak26palmira@comfandi.com.co</t>
  </si>
  <si>
    <t>Drogueria Candelaria</t>
  </si>
  <si>
    <t xml:space="preserve">Candelaria </t>
  </si>
  <si>
    <t>CL. 10 # 7 - 32</t>
  </si>
  <si>
    <t>ANA MARIA DEL PILAR GUTIERREZ</t>
  </si>
  <si>
    <t xml:space="preserve">264 63 06 </t>
  </si>
  <si>
    <t>drogueriacandelaria@comfandi.com.co</t>
  </si>
  <si>
    <t>Supermercado Candelaria</t>
  </si>
  <si>
    <t>Candelaria</t>
  </si>
  <si>
    <t>Clle 10 # 7-32  Candelaria</t>
  </si>
  <si>
    <t>ROBINSON ALEXANDER ALEGRIA M.</t>
  </si>
  <si>
    <t>317-440-73-62</t>
  </si>
  <si>
    <t>092–2648135- 2648288</t>
  </si>
  <si>
    <t>SUPERCANDELARIA@COMFANDI.COM.CO</t>
  </si>
  <si>
    <t>Cl.31 # 44 - 239 Locales 214 - 215</t>
  </si>
  <si>
    <t>2855601 - 2855603 - 2855621</t>
  </si>
  <si>
    <t>drogueriallanogrande@comfandi.com.co</t>
  </si>
  <si>
    <t>Supermercado Buga Principal</t>
  </si>
  <si>
    <t>Calle  5  # 16-48</t>
  </si>
  <si>
    <t>MARIA EUGENIA PEREZ CARRILLO</t>
  </si>
  <si>
    <t>318 267 96 06</t>
  </si>
  <si>
    <t>237 14 93</t>
  </si>
  <si>
    <t>SUPERBUGAPRINCIPAL@COMFANDI.COM.CO</t>
  </si>
  <si>
    <t>CL. 5 N. 16-48</t>
  </si>
  <si>
    <t xml:space="preserve">DIEGO FERNANDO MORALES PULGARIN  </t>
  </si>
  <si>
    <t>236 74 45 - 237 58 58 Ext 1880</t>
  </si>
  <si>
    <t>drogueriabugaprincipal@comfandi.com.co</t>
  </si>
  <si>
    <t>Drogueria Buga – Asilo</t>
  </si>
  <si>
    <t>CALLE 16 a  # 7 -79</t>
  </si>
  <si>
    <t>227 13 05 - 236 70 10 </t>
  </si>
  <si>
    <t>drogueriaasilo@comfandi.com.co</t>
  </si>
  <si>
    <t>CRA. 12 # 6 - 24</t>
  </si>
  <si>
    <t>ARMANDO JOSÉ SALAZAR MEDINA</t>
  </si>
  <si>
    <t>237 2366  237 3251</t>
  </si>
  <si>
    <t>drogueriacentrobuga@comfandi.com.co</t>
  </si>
  <si>
    <t>CRA.14 # 7-02</t>
  </si>
  <si>
    <t>227 15 97 - 236 26 57</t>
  </si>
  <si>
    <t>drogueriaparquecabal@comfandi.com.co</t>
  </si>
  <si>
    <t>Supermercado Calima</t>
  </si>
  <si>
    <t>Vereda Palermo  - Vía Lago Calima</t>
  </si>
  <si>
    <t>EDWAR DOMÍNGUEZ</t>
  </si>
  <si>
    <t>318 268 02 82</t>
  </si>
  <si>
    <t>316 361 33 72</t>
  </si>
  <si>
    <t>rapicalimavaca@comfandi.com.co</t>
  </si>
  <si>
    <t>Calle 4 # 19 - 24</t>
  </si>
  <si>
    <t>YENIFER ALEJANDRA HERNANDEZ CHALARCA</t>
  </si>
  <si>
    <t>2360400 - 2360041</t>
  </si>
  <si>
    <t>drogbugaestacion@comfandi.com.co</t>
  </si>
  <si>
    <t>Supermercado Principal Tuluá</t>
  </si>
  <si>
    <t>Clle 26 # 21-54</t>
  </si>
  <si>
    <t>JOSÉ HEBERT DOMINGUEZ</t>
  </si>
  <si>
    <t>318 268 59 02</t>
  </si>
  <si>
    <t>Ext.  35105  -  2244004  -  225 47 97</t>
  </si>
  <si>
    <t>SUPERPRINCIPALTULUA@COMFANDI.COM.CO</t>
  </si>
  <si>
    <t xml:space="preserve">Drogueria Principal Tulua </t>
  </si>
  <si>
    <t>Cl 26 # 21-54 CENTRO</t>
  </si>
  <si>
    <t>MARIO GERMAN URRIAGO</t>
  </si>
  <si>
    <t>224 37 96</t>
  </si>
  <si>
    <t>drogueriaprincipaltulua@comfandi.com.co</t>
  </si>
  <si>
    <t>Supermercado Victoria</t>
  </si>
  <si>
    <t xml:space="preserve">Cl 29 # 35-11 </t>
  </si>
  <si>
    <t>Jorge Isaacs   Antia</t>
  </si>
  <si>
    <t>Adriana Lopez</t>
  </si>
  <si>
    <t>3340000 ext-35159</t>
  </si>
  <si>
    <t>supervictoria@comfandi.com.co</t>
  </si>
  <si>
    <t>CRA 35 NO. 26 – 31</t>
  </si>
  <si>
    <t>BLANCENID LONDOÑO</t>
  </si>
  <si>
    <t>2248116-2316092</t>
  </si>
  <si>
    <t>drogueriacarrera35@comfandi.com.co</t>
  </si>
  <si>
    <t>CRA 39 NO.27 -45</t>
  </si>
  <si>
    <t xml:space="preserve">CARLOS HOLMES VASQUEZ ALZATE </t>
  </si>
  <si>
    <t>2240789- 2240445</t>
  </si>
  <si>
    <t>rapitienda24tulua@comfandi.com.co</t>
  </si>
  <si>
    <t>Supermercado Bugalagrande</t>
  </si>
  <si>
    <t>Clle 5 # 5-61  Plaza Principal</t>
  </si>
  <si>
    <t>WILLIAM ARISTIZABAL OCAMPO</t>
  </si>
  <si>
    <t>318 268 47 38</t>
  </si>
  <si>
    <t xml:space="preserve">223 6271-2236223 </t>
  </si>
  <si>
    <t>SUPERBUGALAGRANDE@COMFANDI.COM.CO</t>
  </si>
  <si>
    <t>CALLE 5 # 5-61  PLAZA PRINCIPAL</t>
  </si>
  <si>
    <t xml:space="preserve">223 6223 </t>
  </si>
  <si>
    <t>drogbugalagrande@comfandi.com.co</t>
  </si>
  <si>
    <t>Droguería Bahia  Buenaventura</t>
  </si>
  <si>
    <t>Cl 3 No. 02 - 18</t>
  </si>
  <si>
    <t xml:space="preserve">YADIRA SANNEY PORTILLA RUANO  </t>
  </si>
  <si>
    <t>2416727 - 2416710- 3155384743</t>
  </si>
  <si>
    <t>drogbahiabtura@comfandi.com.co</t>
  </si>
  <si>
    <t>CR 4  # 9-45</t>
  </si>
  <si>
    <t>LUZ ENIT GRAJALES</t>
  </si>
  <si>
    <t>2139638  - 2110111 EXT. 36358-36368</t>
  </si>
  <si>
    <t>drogueriaprincipalcartago@comfandi.com.co</t>
  </si>
  <si>
    <t>Drogueria Cartago Clinica</t>
  </si>
  <si>
    <t>CL.23 # 4 AN-35</t>
  </si>
  <si>
    <t xml:space="preserve">LUZ ENIT GRAJALES GONZALEZ  </t>
  </si>
  <si>
    <t>210 11 00 - 210 25 77</t>
  </si>
  <si>
    <t>drogueriaclinicacartago@comfandi.com.co</t>
  </si>
  <si>
    <t>Rapitienda Santa Lucia</t>
  </si>
  <si>
    <t>Cra 5 norte # 18-20</t>
  </si>
  <si>
    <t>JOSE LUIS HENAO</t>
  </si>
  <si>
    <t>2112515 -  2105050</t>
  </si>
  <si>
    <t>rapitiendasantalucia@comfandi.com.co</t>
  </si>
  <si>
    <t>Electro Hogar Comfandi</t>
  </si>
  <si>
    <t xml:space="preserve">Cartago </t>
  </si>
  <si>
    <t>Carrera 4 # 10-90</t>
  </si>
  <si>
    <t xml:space="preserve">JOSÉ LUIS HENAO PULGARÍN </t>
  </si>
  <si>
    <t>superbugaprincipal@comfandi.com.co</t>
  </si>
  <si>
    <t>Cl 10 # 36-93 ACOPI</t>
  </si>
  <si>
    <t>Yili Gonzales y luz Marina Castro</t>
  </si>
  <si>
    <t>690 4545-46-47-48.</t>
  </si>
  <si>
    <t xml:space="preserve"> Yili Annel Gonzalez-ruth margarita cabezas</t>
  </si>
  <si>
    <t>luzmarinacastro@comfandi.com.co; luissierra@comfandi.com.co</t>
  </si>
  <si>
    <t>Hosteria Coconuco</t>
  </si>
  <si>
    <t>Coconuco</t>
  </si>
  <si>
    <t>Puracé (Cauca)</t>
  </si>
  <si>
    <t>Vereda Palermo (Darién)</t>
  </si>
  <si>
    <t>ARLEY RUIZ PERAFAN</t>
  </si>
  <si>
    <r>
      <t>PBX.</t>
    </r>
    <r>
      <rPr>
        <sz val="9"/>
        <color indexed="8"/>
        <rFont val="Calibri"/>
        <family val="2"/>
      </rPr>
      <t>  334 0000  </t>
    </r>
    <r>
      <rPr>
        <b/>
        <sz val="9"/>
        <color indexed="8"/>
        <rFont val="Calibri"/>
        <family val="2"/>
      </rPr>
      <t>Ext .</t>
    </r>
    <r>
      <rPr>
        <sz val="9"/>
        <color indexed="8"/>
        <rFont val="Calibri"/>
        <family val="2"/>
      </rPr>
      <t> 3109</t>
    </r>
  </si>
  <si>
    <t xml:space="preserve"> Ceneida Lopez</t>
  </si>
  <si>
    <t xml:space="preserve">marianitachilanguad@comfandi.com.co - ceneidalopez@comfandi.com.co </t>
  </si>
  <si>
    <t>Km 17 Vía Cali-Jamundi</t>
  </si>
  <si>
    <t xml:space="preserve">Ary Jose Delgado </t>
  </si>
  <si>
    <t>3007747158 -  5556853</t>
  </si>
  <si>
    <t>Willian Hernan Diaz-elizabeth zuletha</t>
  </si>
  <si>
    <t>recreacionpance@comfandi.com.co</t>
  </si>
  <si>
    <t xml:space="preserve"> ceneidalopez@comfandi.com.co </t>
  </si>
  <si>
    <t>Centro Recreativo Comfandi Tablones</t>
  </si>
  <si>
    <t>Km12 vía a Tienda Nueva</t>
  </si>
  <si>
    <t xml:space="preserve">Victor Hugo Quiceno </t>
  </si>
  <si>
    <t>57- 2- 2705824</t>
  </si>
  <si>
    <t>KATERINE SALAZAR</t>
  </si>
  <si>
    <t>auxrecrepalmira@comfandi.com.co&gt;</t>
  </si>
  <si>
    <t>Cr 12 Salida Sur - Vía quebrada seca</t>
  </si>
  <si>
    <t>Mercedes Juliana Salgado</t>
  </si>
  <si>
    <t>centrorecreativobuga@comfandi.com.co</t>
  </si>
  <si>
    <t>Km 3 via a Buga</t>
  </si>
  <si>
    <t>Mauricio Rengifo</t>
  </si>
  <si>
    <t>Margarita Gracia</t>
  </si>
  <si>
    <t xml:space="preserve">Edith Mercedes Barrera Tejedor </t>
  </si>
  <si>
    <t>3340000 ext-35164</t>
  </si>
  <si>
    <t>margaritagracia@comfandi.com.co; mauriciorengifo@comfandi.com.co</t>
  </si>
  <si>
    <t>Centro Recreativo Comfandi Santa Ana</t>
  </si>
  <si>
    <t>Cr 2 # 55-60</t>
  </si>
  <si>
    <t>Mauricio Renjifo Garcia</t>
  </si>
  <si>
    <t>Ruben Dario Toro</t>
  </si>
  <si>
    <t>3116356234    -    3165200372</t>
  </si>
  <si>
    <t>mauriciorengifo@comfandi.com.co;recreativosantaana@comfandi.com.co</t>
  </si>
  <si>
    <t>Cl 5A #  42A-15</t>
  </si>
  <si>
    <t>ANA VICTORIA CAMACHO MARTINEZ</t>
  </si>
  <si>
    <t>Gloria Yepes</t>
  </si>
  <si>
    <r>
      <t>5182800 </t>
    </r>
    <r>
      <rPr>
        <b/>
        <sz val="14"/>
        <color indexed="63"/>
        <rFont val="Calibri"/>
        <family val="2"/>
      </rPr>
      <t>Ext</t>
    </r>
    <r>
      <rPr>
        <sz val="14"/>
        <color indexed="63"/>
        <rFont val="Calibri"/>
        <family val="2"/>
      </rPr>
      <t>. 613</t>
    </r>
  </si>
  <si>
    <t>drogclinicatequendama@comfandi.com.co</t>
  </si>
  <si>
    <t>Paola Puliche</t>
  </si>
  <si>
    <t>juliethpuliche@comfandi.com.co</t>
  </si>
  <si>
    <t>Cl 23 #  4 AN- 35</t>
  </si>
  <si>
    <t>Adriana Milena Bedoya</t>
  </si>
  <si>
    <r>
      <t>3137978668  -2113349 </t>
    </r>
    <r>
      <rPr>
        <b/>
        <sz val="9"/>
        <color indexed="8"/>
        <rFont val="Calibri"/>
        <family val="2"/>
      </rPr>
      <t>Ext .</t>
    </r>
    <r>
      <rPr>
        <sz val="9"/>
        <color indexed="8"/>
        <rFont val="Calibri"/>
        <family val="2"/>
      </rPr>
      <t> 104</t>
    </r>
  </si>
  <si>
    <t xml:space="preserve">3137978668   -     2113349 ext 108 </t>
  </si>
  <si>
    <t>direccionipscartago@comfandi.com.co</t>
  </si>
  <si>
    <t>Cl 32 # 21-74</t>
  </si>
  <si>
    <t>Rodrigo Camero Gomez</t>
  </si>
  <si>
    <t>317 640 8377 </t>
  </si>
  <si>
    <t>Faisury Estrada</t>
  </si>
  <si>
    <t>2705800 - ext 37521</t>
  </si>
  <si>
    <t>rodrigocamero@comfandi.com.co</t>
  </si>
  <si>
    <t>Cl 5 # 23B-05</t>
  </si>
  <si>
    <t>Gustavo Adolfo Sanchez</t>
  </si>
  <si>
    <t>Yeimi Tatiana Lopez Ospina</t>
  </si>
  <si>
    <t>diripsalameda2@comfandi.com.co;secrealameda2@comfandi.com.co</t>
  </si>
  <si>
    <t>Cr 17 # 5-17</t>
  </si>
  <si>
    <t>Ingrid Alexandra Torres</t>
  </si>
  <si>
    <t>PAOLA A. CRUZ</t>
  </si>
  <si>
    <t>direccionipsbuga@comfandi.com.co</t>
  </si>
  <si>
    <t>Cr 4 # 9-45</t>
  </si>
  <si>
    <t>Sandra Milena Suarez</t>
  </si>
  <si>
    <t>Diana Patricia Osorio</t>
  </si>
  <si>
    <t>3113334124     -    36331</t>
  </si>
  <si>
    <t>secreipscartago@comfandi.com.co</t>
  </si>
  <si>
    <t>Cr 23 # 26B-26</t>
  </si>
  <si>
    <t>Ma Josefa Castro</t>
  </si>
  <si>
    <t>evelin rivas</t>
  </si>
  <si>
    <t>Jessica Coral</t>
  </si>
  <si>
    <t>mjosefacastro@comfandi.com.co</t>
  </si>
  <si>
    <t>Cl 54 # 45-25</t>
  </si>
  <si>
    <t>Luz Alejandra Giraldo</t>
  </si>
  <si>
    <t>cristiam camilo rodriguez casanova-jonatan sarria</t>
  </si>
  <si>
    <t>almacenipsmorichal@comfandi.com.co</t>
  </si>
  <si>
    <t xml:space="preserve">alejandragiraldo@comfandi.com.co;almacenipsmorichal@comfandi.com.co </t>
  </si>
  <si>
    <t>Manuel Fdo Cobo sanchez</t>
  </si>
  <si>
    <r>
      <t>PBX</t>
    </r>
    <r>
      <rPr>
        <sz val="9"/>
        <color indexed="63"/>
        <rFont val="Calibri"/>
        <family val="2"/>
      </rPr>
      <t>. 334 0000  </t>
    </r>
    <r>
      <rPr>
        <b/>
        <sz val="9"/>
        <color indexed="63"/>
        <rFont val="Calibri"/>
        <family val="2"/>
      </rPr>
      <t>Ext</t>
    </r>
    <r>
      <rPr>
        <sz val="9"/>
        <color indexed="63"/>
        <rFont val="Calibri"/>
        <family val="2"/>
      </rPr>
      <t>. 1692 - 1624</t>
    </r>
  </si>
  <si>
    <t>Stehani Rodriguez--astrid sierra-HUGO FERNANDO LEON</t>
  </si>
  <si>
    <t>diripssannicolas@comfandi.com.co; auxtecnovigilancia@comfandi.com.co; luzkarimeramos@comfandi.com.co; astridsierra@comfandi.com.co; geillilusierra@comfandi.com.co; tatianaalzate@comfandi.com.co; Lilianatovar@comfandi.com.co</t>
  </si>
  <si>
    <t>Cr 1 # 56-90</t>
  </si>
  <si>
    <t>Martha Rocio molina noriega</t>
  </si>
  <si>
    <t>Lina Alejandra Castrillón</t>
  </si>
  <si>
    <t>diripstorres@comfandi.com.co</t>
  </si>
  <si>
    <t>Cr 18 # 25-60</t>
  </si>
  <si>
    <t>Monica Ma Victoria</t>
  </si>
  <si>
    <t>Diana Marcela Castañeda</t>
  </si>
  <si>
    <t>318-5357061-3163540561</t>
  </si>
  <si>
    <t>direccionipstulua@comfandi.com.co</t>
  </si>
  <si>
    <t>Cl 15 # 6-46</t>
  </si>
  <si>
    <t>Carolina Duque Bautista</t>
  </si>
  <si>
    <t xml:space="preserve">Adriana Ledesma </t>
  </si>
  <si>
    <t>diripsyumbo@comfandi.com.co</t>
  </si>
  <si>
    <t>Cl 13 # 80-60</t>
  </si>
  <si>
    <t>Maria Josefa  Castro</t>
  </si>
  <si>
    <t>Luisa Maria Ruiz Cortez</t>
  </si>
  <si>
    <t>1752-3704080-3174277476</t>
  </si>
  <si>
    <t>citassia@comfandi.com.co;mjosefacastro@comfandi.com.co</t>
  </si>
  <si>
    <t>Cl 5A # 42A-11</t>
  </si>
  <si>
    <t>Liliana TOVAR</t>
  </si>
  <si>
    <t xml:space="preserve"> -CEL.-3002562512-  TEL-5182800- ext-150-152-153</t>
  </si>
  <si>
    <t>LUZ AIDA PARRA</t>
  </si>
  <si>
    <t>lilianatovar@comfandi.com.co</t>
  </si>
  <si>
    <t>Supermercado Yumbo</t>
  </si>
  <si>
    <t>YUMBO</t>
  </si>
  <si>
    <t>Calle 5 # 3 - 26</t>
  </si>
  <si>
    <t>YULI OVIEDO</t>
  </si>
  <si>
    <t>3117628431-3206744364</t>
  </si>
  <si>
    <t>supyumbo@comfandi.com.co</t>
  </si>
  <si>
    <t>Supermercado Comfandi Los Cristales</t>
  </si>
  <si>
    <t>Calle 11 Oeste #36D-86</t>
  </si>
  <si>
    <t>Carlos Alberto Rojas</t>
  </si>
  <si>
    <t>supercristales@comfandi.com.co</t>
  </si>
  <si>
    <t>Ips SIA 14 Calima</t>
  </si>
  <si>
    <t>Calle 70 con cra 1 Centro Comercial Calima local 233</t>
  </si>
  <si>
    <t>Maria Josefa Castro</t>
  </si>
  <si>
    <t>Nancy Tovar Ceron</t>
  </si>
  <si>
    <t> 3217832529</t>
  </si>
  <si>
    <t>mjosefacastro@comfandi.com.co;nancytobar@comfandi.com.co</t>
  </si>
  <si>
    <t>Agencia de Gestión y Colocación de Empleo La Merced</t>
  </si>
  <si>
    <t>Avenida 3 Norte # 51N-56</t>
  </si>
  <si>
    <t>Yamileth Chacon</t>
  </si>
  <si>
    <t>Sebastian Arboleda Ramirez</t>
  </si>
  <si>
    <t>yamilethchacon@comfandi.com.co; sebastianarboleda@comfandi.com.co; juanrocha@comfandi.com.co</t>
  </si>
  <si>
    <t>BIBLIOTECA ESCOLAR COLEGIO PALMIRA</t>
  </si>
  <si>
    <t>Claudia Milena Vélez Gómez</t>
  </si>
  <si>
    <t>315 4637311</t>
  </si>
  <si>
    <t>Wilder Jaramillo Rios</t>
  </si>
  <si>
    <t>milenavelez@comfandi.com.co;gracielapena@comfandi.com.co;biblioescolarpalmira@comfandi.com.co;dianaarboleda@comfandi.com.co</t>
  </si>
  <si>
    <t>ADMON</t>
  </si>
  <si>
    <t>CIS BUENAVENTURA</t>
  </si>
  <si>
    <t>BUENAVENTURA</t>
  </si>
  <si>
    <t>Cra 2 # 2 -39</t>
  </si>
  <si>
    <t> Claudia Patricia Ramírez Rivas</t>
  </si>
  <si>
    <t> 3165313306</t>
  </si>
  <si>
    <t> Nairovy Montaño Mestizo</t>
  </si>
  <si>
    <t>3137654985 </t>
  </si>
  <si>
    <t>auxcisbuenaventura@Comfandi.com.co</t>
  </si>
  <si>
    <t>Av. 6 # 40 N - 08</t>
  </si>
  <si>
    <t>JUAN GABRIEL GALLARDO</t>
  </si>
  <si>
    <t>droguerialaflora2@comfandi.com.co</t>
  </si>
  <si>
    <t>ESPERANZA TORRES MUÑOZ</t>
  </si>
  <si>
    <t>drogueriaclinicaoccidente@comfandi.com.co</t>
  </si>
  <si>
    <t>drogueriajardinplaza@comfandi.com.co</t>
  </si>
  <si>
    <t>LAURA DAYANA GARZON</t>
  </si>
  <si>
    <t>drogueriaedscaney@comfandi.com.co</t>
  </si>
  <si>
    <t>YADIRA SANNEY PORTILLA RUANO</t>
  </si>
  <si>
    <t>drogbellavistabuenaventura@comfandi.com.co</t>
  </si>
  <si>
    <t>YHOANA FAJARDO</t>
  </si>
  <si>
    <t>drogcristalesplaza@comfandi.com.co</t>
  </si>
  <si>
    <t>Drogueria Supermercado Calima</t>
  </si>
  <si>
    <t> drogueriacalima@comfandi.com.co</t>
  </si>
  <si>
    <t>Calle 44N # 3 N - 22</t>
  </si>
  <si>
    <t>VIVIANA GORDILLO</t>
  </si>
  <si>
    <t>drogueriavipasa@comfandi.com.co</t>
  </si>
  <si>
    <t>VIVIANA YULIET MERA PEÑA</t>
  </si>
  <si>
    <t>drogueriacosmocentro@comfandi.com.co</t>
  </si>
  <si>
    <t>GLORIA LUCELI SANCHEZ</t>
  </si>
  <si>
    <t>drogueriaccciudadjardin@comfandi.com.co</t>
  </si>
  <si>
    <t>VIVIANA ALARCÓN</t>
  </si>
  <si>
    <t> drogueriaunicentro2@comfandi.com.co</t>
  </si>
  <si>
    <t>Drogueria Yumbo</t>
  </si>
  <si>
    <t>Cl.5 # 3 - 26 Parque Belalcazar</t>
  </si>
  <si>
    <t>HORACIO ARNULFO GIL</t>
  </si>
  <si>
    <t>drogueriayumbo@comfandi.com.co</t>
  </si>
  <si>
    <t>NORA AVENIA</t>
  </si>
  <si>
    <t>drogueriaclinicavida@comfandi.com.co</t>
  </si>
  <si>
    <t>Drogueria Santa Mónica Carvajal</t>
  </si>
  <si>
    <t>drosantmonicarv@comfandi.com.co</t>
  </si>
  <si>
    <t>drogueriapodium@comfandi.com.co</t>
  </si>
  <si>
    <t>drogvalledellili2@comfandi.com.co</t>
  </si>
  <si>
    <t>drogueriavictoria@comfandi.com.co</t>
  </si>
  <si>
    <t>Drogueria Pasoancho</t>
  </si>
  <si>
    <t>Carrera 80 No. 6  A 200</t>
  </si>
  <si>
    <t>drogueriasuppasoancho@comfandi.com.co</t>
  </si>
  <si>
    <t>Regional</t>
  </si>
  <si>
    <t>Nombre</t>
  </si>
  <si>
    <t>Email</t>
  </si>
  <si>
    <t>N° Celular</t>
  </si>
  <si>
    <t>Perfil</t>
  </si>
  <si>
    <t>Francy Lineidy Galeano Hoyos</t>
  </si>
  <si>
    <t>Francy Galeano&lt;francygaleano@comfandi.com.co&gt;</t>
  </si>
  <si>
    <t>Jefe Mtto</t>
  </si>
  <si>
    <t>Jhonier Betancourt Espinosa</t>
  </si>
  <si>
    <t>Jhonier Betancourt&lt; jhonierbetancourt@comfandi.com.co&gt;</t>
  </si>
  <si>
    <t>Admon Z3</t>
  </si>
  <si>
    <t>Diana Ramos&lt;dianaramos@comfandi.com.co&gt;</t>
  </si>
  <si>
    <t>Gestor Mtto</t>
  </si>
  <si>
    <t xml:space="preserve">Fredy Hernandez Trujillo </t>
  </si>
  <si>
    <t>Fredy Hernandez&lt;freddyhernandez@comfandi.com.co&gt;</t>
  </si>
  <si>
    <t>Jhoan Estiven Llanos Arboleda</t>
  </si>
  <si>
    <t>Jhoan Estiven Llanos&lt;jhoanestiven@comfandi.com.co&gt;</t>
  </si>
  <si>
    <t>Ferney Antonio Murillo Molina</t>
  </si>
  <si>
    <t>Ferney Antonio Murillo&lt;ferneymurillo@comfandi.com.co&gt;</t>
  </si>
  <si>
    <t>Jansen Giraldo&lt;jansengiraldo@comfandi.com.co&gt;</t>
  </si>
  <si>
    <t xml:space="preserve">Oscar Tiberio Castillo Cortez </t>
  </si>
  <si>
    <t>Oscar Tiberio Castillo&lt;oscarcastillo@comfandi.com.co&gt;</t>
  </si>
  <si>
    <t>Gloria Patricia Yepes Sanchez&lt;gloriayepes@comfandi.com.co&gt;</t>
  </si>
  <si>
    <t>Gestor Mtto IPS</t>
  </si>
  <si>
    <t>Jose Joaquin Delgado&lt; josedelgado@comfandi.com.co&gt;</t>
  </si>
  <si>
    <t xml:space="preserve">Facilitador </t>
  </si>
  <si>
    <t xml:space="preserve">Hernando Narvaez Suarez </t>
  </si>
  <si>
    <t>Hernando Narvaez&lt;hernandonarvaez@comfandi.com.co&gt;</t>
  </si>
  <si>
    <t>Orlando Arango Uribe</t>
  </si>
  <si>
    <t>Orlando Arango&lt;orlandoarango@comfandi.com.co&gt;</t>
  </si>
  <si>
    <t>Fernando Galeano Hurtado</t>
  </si>
  <si>
    <t>Fernando Galeano&lt;fernandogaleano@comfandi.com.co&gt;</t>
  </si>
  <si>
    <t>Palmira</t>
  </si>
  <si>
    <t>Jairo  Arboleda</t>
  </si>
  <si>
    <t>Jairo Arboleda&lt;jairoarboleda@comfandi.com.co&gt;</t>
  </si>
  <si>
    <t>Ediee Giraldo Restrepo</t>
  </si>
  <si>
    <t>Ediee Giraldo&lt;eddiergiraldo@comfandi.com.co&gt;</t>
  </si>
  <si>
    <t xml:space="preserve">Carlos Humberto Posada </t>
  </si>
  <si>
    <t>Carlos Humberto Posada&lt;mantenimientotulua@comfandi.com.co&gt;</t>
  </si>
  <si>
    <t xml:space="preserve">Jorge Luis Londoño </t>
  </si>
  <si>
    <t>Jorge Luis Londoño&lt;jorgelondono@comfandi.com.co&gt;</t>
  </si>
  <si>
    <t>Bernardo Antonio Alarcon</t>
  </si>
  <si>
    <t>Bernardo Antonio Alarcon&lt;bernardoalarcon@comfandi.com.co&gt;</t>
  </si>
  <si>
    <t>William Alexis Ramirez Yusti</t>
  </si>
  <si>
    <t>William Alexis Ramirez&lt;williamramirez@comfandi.com.co&gt;</t>
  </si>
  <si>
    <t>Fredy Augusto Rico Arce</t>
  </si>
  <si>
    <t>Fredy Augusto Rico&lt;fredyrico@comfandi.com.co&gt;</t>
  </si>
  <si>
    <t>Varias</t>
  </si>
  <si>
    <t>Jairo Alberto Escalante</t>
  </si>
  <si>
    <t>Jairo Alberto Escalante Quintero&lt;jairoescalante@comfandi.com.co&gt;</t>
  </si>
  <si>
    <t>N/A</t>
  </si>
  <si>
    <t>Se debe copiar los correos de sedes de Palmira en adelante</t>
  </si>
  <si>
    <t>Cali-Yumbo</t>
  </si>
  <si>
    <t>Central de Monitoreo</t>
  </si>
  <si>
    <t>Central Monitoreo Prado&lt;centralmonitorprado@comfandi.com.co&gt;</t>
  </si>
  <si>
    <t>Se debe copiar los correos de sedes Cali</t>
  </si>
  <si>
    <t>William Obando</t>
  </si>
  <si>
    <t>William Andres Obando Ipujan&lt;williamobando@comfandi.com.co&gt;</t>
  </si>
  <si>
    <t>Facilitador Droguerias</t>
  </si>
  <si>
    <t>Angie Natalia Grande</t>
  </si>
  <si>
    <t>Angie Natalia Grande Muñoz&lt;angiegrande@comfandi.com.co&gt;</t>
  </si>
  <si>
    <t>Otros Correos:</t>
  </si>
  <si>
    <t>centralmonitorprado@comfandi.com.co</t>
  </si>
  <si>
    <t>Regionales</t>
  </si>
  <si>
    <t>jairoescalante@comfandi.com.co</t>
  </si>
  <si>
    <t>CDI</t>
  </si>
  <si>
    <t>Brenda Ximena Anaya &lt;auxprimerainfancia@comfandi.com.co&gt;</t>
  </si>
  <si>
    <t>FUNCIONARIOS LIDER DE LA UES</t>
  </si>
  <si>
    <t>NOMBRES  FUNCIONARIO  PRINCIPAL</t>
  </si>
  <si>
    <t>FUNCIONARIO SUPLENTE</t>
  </si>
  <si>
    <t>CORREO CORPORATIVO</t>
  </si>
  <si>
    <t>Erika Cecilia Mogollon Rodriguez</t>
  </si>
  <si>
    <t>William A. Obando</t>
  </si>
  <si>
    <t>erikamogollon@comfandi.com.co; williamobando@comfandi.com.co</t>
  </si>
  <si>
    <t>Jhon Sinisterra</t>
  </si>
  <si>
    <t>Jesús Herney Peñafiel</t>
  </si>
  <si>
    <t>johnsinisterra@comfandi.com.co; edinsonarenas@comfandi.com.co; jesuspenafiel@comfandi.com.co</t>
  </si>
  <si>
    <t>Fernanda Martinez Mutis</t>
  </si>
  <si>
    <t>fernandamartinez@comfandi.com.co; marygonzalez@comfandi.com.co;</t>
  </si>
  <si>
    <t>Gloria Patricia Yepes Sanchez</t>
  </si>
  <si>
    <t>gloriayepes@comfandi.com.co</t>
  </si>
  <si>
    <t>MEDIO AMBIENTE</t>
  </si>
  <si>
    <t>German Bravo Lasprilla</t>
  </si>
  <si>
    <t>germanbravo@comfandi.com.co;</t>
  </si>
  <si>
    <t>SSTT</t>
  </si>
  <si>
    <t>Hector caicedo</t>
  </si>
  <si>
    <t>MARIA MARTINEZ, YUBIZAN VELASCO</t>
  </si>
  <si>
    <t>hectorcaicedo@comfandi.com.co; mariamartinez@comfandi.com.co; yubizanvelasco@comfandi.com.co</t>
  </si>
  <si>
    <t>francygaleano@comfandi.com.co; viviansramirez@comfandi.com.co; jansengiraldo@comfandi.com.co; brayanardila@comfandi.com.co; leonardosarria@comfandi.com.co; aprendizmantenimiento1@comfandi.com.co;sebastianarias@comfandi.com.co;hectorcaicedo@comfandi.com.co; mariamartinez@comfandi.com.co; yubizanvelasco@comfandi.com.co</t>
  </si>
  <si>
    <t>analista1sst.comfandi@brillaseo.com; jhaidy.ruiz@brillaseo.com; almacen1.comfandi@brillaseo.com; alejandro.marin@brillaseo.co;andres.ramirez@brillaseo.co;bryan.martinez@brillaseo.co;adrian.restrepo@brillaseo.co</t>
  </si>
  <si>
    <t>CLINICAS E IPS -  SALUD</t>
  </si>
  <si>
    <t>CENTROS CAMPESTRES - RECREACION</t>
  </si>
  <si>
    <t>ADMINISTRATIVOS</t>
  </si>
  <si>
    <t>DESCRIPCION ACTIVIDAD A REALIZAR INSPECCIÓN</t>
  </si>
  <si>
    <t>PILAR MTTO</t>
  </si>
  <si>
    <t>IPS EL PRADO</t>
  </si>
  <si>
    <t>LABORARTIO ESPECIALIZADO</t>
  </si>
  <si>
    <t>IPS TORRES</t>
  </si>
  <si>
    <t>IPS PALMIRA</t>
  </si>
  <si>
    <t>CLINICA TEQUENDAMA</t>
  </si>
  <si>
    <t>IPS BUGA</t>
  </si>
  <si>
    <t>CLINICA CARTAGO</t>
  </si>
  <si>
    <t>PANCE</t>
  </si>
  <si>
    <t>ARROYOHONDO</t>
  </si>
  <si>
    <t>EDIFICIO EL PRADO</t>
  </si>
  <si>
    <t>EDIF. ADMIN BUGA</t>
  </si>
  <si>
    <t>AGENCIA EMPLEO-CIS B/TURA</t>
  </si>
  <si>
    <t>COLEGIO PRADO</t>
  </si>
  <si>
    <t>COLEGIO YUMBO</t>
  </si>
  <si>
    <t>IETDH B/TURA</t>
  </si>
  <si>
    <t>COLEGIO BUGA</t>
  </si>
  <si>
    <t>COLEGIO EL LAGO</t>
  </si>
  <si>
    <t>INSPECCION Y LIMPIEZA DE PLANTAS ELECTRICAS (PRUEBAS DE VACIO )</t>
  </si>
  <si>
    <t>SEMANAL</t>
  </si>
  <si>
    <t>ELECTRICO</t>
  </si>
  <si>
    <t> </t>
  </si>
  <si>
    <t>INSPECCION Y LIMPIEZA SUBESTACIÓN ELECTRICA (CAMBIO POR URGENCIA)</t>
  </si>
  <si>
    <t>QUINCENAL</t>
  </si>
  <si>
    <t>ACCEDE PERSONAL CALIFICADO</t>
  </si>
  <si>
    <t xml:space="preserve">SISTEMA DE BOMBEO </t>
  </si>
  <si>
    <t>DIARIA</t>
  </si>
  <si>
    <t>HIDRAULICO</t>
  </si>
  <si>
    <t xml:space="preserve">TANQUES DE AGUA POTABLE (MEDICION PH) </t>
  </si>
  <si>
    <t>TANQUE CRIOGENICO</t>
  </si>
  <si>
    <t>2 X DIA</t>
  </si>
  <si>
    <t>GASES MEDICINALES</t>
  </si>
  <si>
    <t>UPS</t>
  </si>
  <si>
    <t>COMPRESORES-Aire medicinal-ODONTOLOGIA- VENTILADORES -CENTRAL DE ESTERILIZACION</t>
  </si>
  <si>
    <t>SISTEMA  DE BOMBAS DE VACIO</t>
  </si>
  <si>
    <t>TOMA LECTURA CONTADORES SERVICIOS PUBLICOS(ELECTRICOS, GAS Y AGUA)</t>
  </si>
  <si>
    <t>MENSUAL</t>
  </si>
  <si>
    <t xml:space="preserve">EXTINTORES  </t>
  </si>
  <si>
    <t>OBRA CIVIL</t>
  </si>
  <si>
    <t>RED  DEL SISTEMA CONTRA INCENDIO</t>
  </si>
  <si>
    <t>SAUNAS ,TURCOS, JACUZZI</t>
  </si>
  <si>
    <t>CUARTOS Y SISTEMAS DE BOMBEO PISCINAS</t>
  </si>
  <si>
    <t>PISCINAS</t>
  </si>
  <si>
    <t>CANCHAS MULTIPLES</t>
  </si>
  <si>
    <t>INSPECCIÓN AIRES ACONDICIONADOS</t>
  </si>
  <si>
    <t>RETEPARQUES (toboganes-Juegos, atracciones)</t>
  </si>
  <si>
    <t>EQUIPO DE GIMNASIO</t>
  </si>
  <si>
    <t>PUERTAS MANUALES,MOTORIZADAS,Y DE LIBERACION.</t>
  </si>
  <si>
    <t>TOBOGANES</t>
  </si>
  <si>
    <t>TECHOS , CUBIERTAS Y BAJANTES</t>
  </si>
  <si>
    <t>RACK DE REFRIGERACION</t>
  </si>
  <si>
    <t>TOTAL PLANILLAS PARA ENTREGAR CADA  MES</t>
  </si>
  <si>
    <t>TOTAL PLANILLAS RECIBIDAS</t>
  </si>
  <si>
    <t>TOTAL PLANILLAS PENDIENTES</t>
  </si>
  <si>
    <t>Matriz de Seguimiento</t>
  </si>
  <si>
    <t>PUNTO DE SERVICIO</t>
  </si>
  <si>
    <t>REGIONAL</t>
  </si>
  <si>
    <t>GESTOR</t>
  </si>
  <si>
    <t>CELULAR</t>
  </si>
  <si>
    <t>DROGUERÍA</t>
  </si>
  <si>
    <t xml:space="preserve"> Los Remedios</t>
  </si>
  <si>
    <t>CALI</t>
  </si>
  <si>
    <t>Avenida 2C norte # 24N - 172/174/176</t>
  </si>
  <si>
    <t xml:space="preserve"> Fundación Valle del Lili</t>
  </si>
  <si>
    <t>Cr 98 # 18-49</t>
  </si>
  <si>
    <t xml:space="preserve"> Fundación Valle del Lili 2</t>
  </si>
  <si>
    <t>Carrera 98 No. 18-49</t>
  </si>
  <si>
    <t xml:space="preserve"> Tequendama II</t>
  </si>
  <si>
    <t>Cr 42 # 5E-10</t>
  </si>
  <si>
    <t xml:space="preserve"> Imbanaco Principal</t>
  </si>
  <si>
    <t>Cr 38A # 5A-100, local 102</t>
  </si>
  <si>
    <t xml:space="preserve"> Farallones</t>
  </si>
  <si>
    <t>Cl 9C # 50-25 Loc 3 Ala A</t>
  </si>
  <si>
    <t xml:space="preserve"> Av Sexta</t>
  </si>
  <si>
    <t>Avenida 5C - N° 24N - 93</t>
  </si>
  <si>
    <t xml:space="preserve"> El ingenio</t>
  </si>
  <si>
    <t>Cl 16 # 85-42</t>
  </si>
  <si>
    <t xml:space="preserve"> Surtifamiliar Alameda</t>
  </si>
  <si>
    <t>Cl 9B # 23C-65</t>
  </si>
  <si>
    <t xml:space="preserve"> La Flora</t>
  </si>
  <si>
    <t>Cl 52N # 5BN134</t>
  </si>
  <si>
    <t xml:space="preserve"> Charco del burro Santa Teresita</t>
  </si>
  <si>
    <t>Av Col 5-281</t>
  </si>
  <si>
    <t xml:space="preserve"> Droguería y minimarket Cañaveralejo</t>
  </si>
  <si>
    <t>Cl 5 # 56-20 local 9</t>
  </si>
  <si>
    <t>C.C Unicentro</t>
  </si>
  <si>
    <t>Cr 100 # 5-169 Local 178 A</t>
  </si>
  <si>
    <t xml:space="preserve"> Imbanaco Calle 5 </t>
  </si>
  <si>
    <t>Calle 5 # 38A -05 Local 102</t>
  </si>
  <si>
    <t xml:space="preserve"> La Martina</t>
  </si>
  <si>
    <t>Cr 70 # 13B-18</t>
  </si>
  <si>
    <t>C.C Aventura Plaza</t>
  </si>
  <si>
    <t>Cr 100 # 15A-61 Local 100</t>
  </si>
  <si>
    <t xml:space="preserve"> Buenos Aires</t>
  </si>
  <si>
    <t>Cr 73 # 3-39</t>
  </si>
  <si>
    <t xml:space="preserve">C.C   Único </t>
  </si>
  <si>
    <t>cra 3 # 47D - 88</t>
  </si>
  <si>
    <t xml:space="preserve"> San Joaquín</t>
  </si>
  <si>
    <t>Cl 25 # 85B-100</t>
  </si>
  <si>
    <t>C.C Centenario</t>
  </si>
  <si>
    <t>Avenida 4 Norte 7N-46/64, Local 102</t>
  </si>
  <si>
    <t xml:space="preserve"> Ciudad Jardin II</t>
  </si>
  <si>
    <t>Cl 18 # 106-46</t>
  </si>
  <si>
    <t xml:space="preserve"> Callejón de las chuchas</t>
  </si>
  <si>
    <t>Cr 122 # 16A - 18 Locales 102 y 103</t>
  </si>
  <si>
    <t xml:space="preserve"> Cañaveral Brisas</t>
  </si>
  <si>
    <t>Cl 75C Norte # 2A Bis - 100</t>
  </si>
  <si>
    <t xml:space="preserve"> Meléndez II</t>
  </si>
  <si>
    <t>Cr 94 # 4-75</t>
  </si>
  <si>
    <t>C.C Chipichape</t>
  </si>
  <si>
    <t>Av 6A Norte # 37N - 25/95 Local 215</t>
  </si>
  <si>
    <t xml:space="preserve"> Limonar</t>
  </si>
  <si>
    <t>Cl 9 # 65A-40</t>
  </si>
  <si>
    <t xml:space="preserve"> Minimarket Caldas</t>
  </si>
  <si>
    <t>CALLE 5 # 69 - 18 Y 69 - 20</t>
  </si>
  <si>
    <t xml:space="preserve"> C.C Holguines</t>
  </si>
  <si>
    <t>Cr 100 # 11-60 Local 123</t>
  </si>
  <si>
    <t xml:space="preserve"> Cerros Plaza</t>
  </si>
  <si>
    <t xml:space="preserve"> Av Circunvalacion del sur # 55B-145 </t>
  </si>
  <si>
    <t xml:space="preserve"> Av sexta La Flora II</t>
  </si>
  <si>
    <t>calle 40N # 5N - 46</t>
  </si>
  <si>
    <t xml:space="preserve"> Vipasa</t>
  </si>
  <si>
    <t>Calle 44N # 3N-22</t>
  </si>
  <si>
    <t>EDS Caney</t>
  </si>
  <si>
    <t>Cl 25 # 83C - 51 Local 10-11</t>
  </si>
  <si>
    <t xml:space="preserve"> Clínica de Occidente</t>
  </si>
  <si>
    <t xml:space="preserve">Cl 18 # 5N -N- 09 </t>
  </si>
  <si>
    <t xml:space="preserve"> Pasoancho Santo Domingo</t>
  </si>
  <si>
    <t>Cl 13 # 44 - 39</t>
  </si>
  <si>
    <t xml:space="preserve"> Ciudad Jardin III</t>
  </si>
  <si>
    <t>Cr 103 # 13 - 120</t>
  </si>
  <si>
    <t xml:space="preserve"> Plaza 70</t>
  </si>
  <si>
    <t>carrera 70 # 1B - 65 local 11 y 12</t>
  </si>
  <si>
    <t xml:space="preserve"> Cañasgordas</t>
  </si>
  <si>
    <t>Cl 18 # 114B-40</t>
  </si>
  <si>
    <t xml:space="preserve"> Carvajal Santa Mónica</t>
  </si>
  <si>
    <t>Calle 29 Norte No. 6ª - 40, Centro Empresarial Carvajal Santa Mónica</t>
  </si>
  <si>
    <t xml:space="preserve"> Superinter Pasarela</t>
  </si>
  <si>
    <t>Av 5N # 23DN 40</t>
  </si>
  <si>
    <t xml:space="preserve"> Clinica vida</t>
  </si>
  <si>
    <t>Calle 5D # 38A - 35, local 24, Ala 3 piso 1</t>
  </si>
  <si>
    <t xml:space="preserve"> C.C Ciudad Jardín</t>
  </si>
  <si>
    <t>Cl 18 # 106-04 Local 107</t>
  </si>
  <si>
    <t xml:space="preserve"> Edificio Alianza</t>
  </si>
  <si>
    <t>Carrera 2 # 7 OE – 76, local 2 piso 1</t>
  </si>
  <si>
    <t xml:space="preserve"> FVL sede limonar (Antigua Clinica Amiga)</t>
  </si>
  <si>
    <t>Carrera 70 N° 18-75, primer piso</t>
  </si>
  <si>
    <t xml:space="preserve"> Cristales Plaza Locales A6 y A7</t>
  </si>
  <si>
    <t>Avenida Circunvalación-No. 36D-86 Locales A6 y A7</t>
  </si>
  <si>
    <t xml:space="preserve">  C.C Cosmocentro</t>
  </si>
  <si>
    <t>Calle 5 No. 50 - 01</t>
  </si>
  <si>
    <t xml:space="preserve"> C.C Unicentro II</t>
  </si>
  <si>
    <t>Carrera 100 No. 5 -169 1 04 L</t>
  </si>
  <si>
    <t xml:space="preserve">  La 14 Pasoancho</t>
  </si>
  <si>
    <t xml:space="preserve"> 14 Calima</t>
  </si>
  <si>
    <t>Calle 70 #1-00</t>
  </si>
  <si>
    <t xml:space="preserve"> Podium</t>
  </si>
  <si>
    <t>Calle 45 # 93-36 CR Podium L11</t>
  </si>
  <si>
    <t xml:space="preserve"> Bochalema Surtifamiliar</t>
  </si>
  <si>
    <t>Carrera 109 # 34-200</t>
  </si>
  <si>
    <t xml:space="preserve"> Alkosto Norte</t>
  </si>
  <si>
    <t>Carrera 3 # 64- 45</t>
  </si>
  <si>
    <t xml:space="preserve"> Entrebosques Pance </t>
  </si>
  <si>
    <t>Carrera 116 No. 16 – 131, Locales 7 y 8</t>
  </si>
  <si>
    <t>C.C Único 2</t>
  </si>
  <si>
    <t>Calle 52 # 3 – 53 C.C. Unico, Local 012</t>
  </si>
  <si>
    <t>C.C Palmetto Plaza</t>
  </si>
  <si>
    <t>Carreras 48 y 50, con calles 9 y 9 B, Local 115</t>
  </si>
  <si>
    <t xml:space="preserve">  Ciudadela</t>
  </si>
  <si>
    <t xml:space="preserve"> Avenida Sexta II</t>
  </si>
  <si>
    <t>AV 6N    24N-108</t>
  </si>
  <si>
    <t xml:space="preserve"> Clínica Tequendama</t>
  </si>
  <si>
    <t>Cl. 5a #42-15</t>
  </si>
  <si>
    <t xml:space="preserve"> Morichal</t>
  </si>
  <si>
    <t>CALLE 54 # 42B-21</t>
  </si>
  <si>
    <t xml:space="preserve"> Ssn Fernando</t>
  </si>
  <si>
    <t>Carrera 36 # 5-68</t>
  </si>
  <si>
    <t xml:space="preserve"> Santa Rosa</t>
  </si>
  <si>
    <t>CALLE  8 # 8-13</t>
  </si>
  <si>
    <t xml:space="preserve"> Torres</t>
  </si>
  <si>
    <t xml:space="preserve"> Desepaz</t>
  </si>
  <si>
    <t>CARRERA 25 # 121-42</t>
  </si>
  <si>
    <t>Terminal</t>
  </si>
  <si>
    <t>Cl 30N # 2A-29 L</t>
  </si>
  <si>
    <t>El Prado</t>
  </si>
  <si>
    <t>CARRERA 23 No. 26 B 46</t>
  </si>
  <si>
    <t>Guadalupe</t>
  </si>
  <si>
    <t>Calle 10 # 56-41</t>
  </si>
  <si>
    <t>C.C Jardín Plaza</t>
  </si>
  <si>
    <t>Cra 98 # 16-200 Local LN09</t>
  </si>
  <si>
    <t>La Merced</t>
  </si>
  <si>
    <t xml:space="preserve"> IPS Alameda</t>
  </si>
  <si>
    <t>ALBEIRO DURÁN</t>
  </si>
  <si>
    <t>IPS Salud Integral Amiga segundo piso</t>
  </si>
  <si>
    <t>Avenida pasoancho entre carreras 80, 81a y 82 # 80 - 60 (Locales 2-26, 2-27 y 2-28)</t>
  </si>
  <si>
    <t xml:space="preserve">IPS Torres </t>
  </si>
  <si>
    <t>Carrera 1 # 56-90</t>
  </si>
  <si>
    <t>Clínica Tequendama</t>
  </si>
  <si>
    <t>CALLE 5A # 42 A-15</t>
  </si>
  <si>
    <t>JULIETH PAOLA PULICHE</t>
  </si>
  <si>
    <t>IPS Morichal</t>
  </si>
  <si>
    <t>Calle 54 # 45-25</t>
  </si>
  <si>
    <t>CALLE 5A # 42A-11</t>
  </si>
  <si>
    <t>IPS El Prado</t>
  </si>
  <si>
    <t>JOAQUÍN DELGADO</t>
  </si>
  <si>
    <t>321 2354912</t>
  </si>
  <si>
    <t>Colegio Ciudadela</t>
  </si>
  <si>
    <t>Colegio Delicias</t>
  </si>
  <si>
    <t>CARRERA 5 # 36 A - 45</t>
  </si>
  <si>
    <t>Colegio Miraflores</t>
  </si>
  <si>
    <t>CALLE 3 # 23B-18</t>
  </si>
  <si>
    <t>CARRERA 11F # 33A 86</t>
  </si>
  <si>
    <t>Colegio El Prado</t>
  </si>
  <si>
    <t>Colegio San Nicolás</t>
  </si>
  <si>
    <t>CALLE 22 CRA 7 BIS</t>
  </si>
  <si>
    <t>FTDH San Nicolás</t>
  </si>
  <si>
    <t>CALLE 21 No. 7 - 50</t>
  </si>
  <si>
    <t>SUPERMERCADO</t>
  </si>
  <si>
    <t>Santa Rosa</t>
  </si>
  <si>
    <t>HERNANDO NARVÁEZ</t>
  </si>
  <si>
    <t>316 8785276</t>
  </si>
  <si>
    <t>Cañasgordas</t>
  </si>
  <si>
    <t>Cl 18 # 114B-20</t>
  </si>
  <si>
    <t>Desepaz</t>
  </si>
  <si>
    <t>Morichal</t>
  </si>
  <si>
    <t>San Fernando</t>
  </si>
  <si>
    <t>Torres</t>
  </si>
  <si>
    <t>Cristales Plaza</t>
  </si>
  <si>
    <t>Avenida Circunvalación-No. 36D-86 Local A1</t>
  </si>
  <si>
    <t>Ciudadela</t>
  </si>
  <si>
    <t>Alfaguara</t>
  </si>
  <si>
    <t>JAMUNDÍ</t>
  </si>
  <si>
    <t>Calle 2 # 22-175 Locales 61 y 62</t>
  </si>
  <si>
    <t>Minimarket Jamundi</t>
  </si>
  <si>
    <t>Cr 10 # 16-158 Local 2</t>
  </si>
  <si>
    <t>Pangóla Plaza</t>
  </si>
  <si>
    <t xml:space="preserve">Proyecto comercial Pangola Plaza, Locales 1 y 2 </t>
  </si>
  <si>
    <t>Jamundí</t>
  </si>
  <si>
    <t xml:space="preserve"> Natura Park</t>
  </si>
  <si>
    <t> Av Cañasgordas carrera 26 # 05-140  centro comercial natura park Local 7-A.</t>
  </si>
  <si>
    <t>Cl 13B # 49 SUR-30</t>
  </si>
  <si>
    <t>Cl 5 entre cra 3 y 4 # 3-26 y 3- 32</t>
  </si>
  <si>
    <t>IPS San Nicolás</t>
  </si>
  <si>
    <t>IPS  Yumbo</t>
  </si>
  <si>
    <t xml:space="preserve"> Aeropuerto</t>
  </si>
  <si>
    <t>PALMIRA</t>
  </si>
  <si>
    <t>Aeropuerto Internacional Alfonso Bonilla Aragón, Palmira</t>
  </si>
  <si>
    <t>318 3355665</t>
  </si>
  <si>
    <t>C.C Llanogrande</t>
  </si>
  <si>
    <t>Cl 31 # 44-239 Local 214 y 215</t>
  </si>
  <si>
    <t xml:space="preserve"> Palma Real </t>
  </si>
  <si>
    <t xml:space="preserve"> Cra 28 44-35</t>
  </si>
  <si>
    <t xml:space="preserve"> Las Mercedes </t>
  </si>
  <si>
    <t>Calle 57 No. 28 B – 59, Barrio Las Mercedes</t>
  </si>
  <si>
    <t xml:space="preserve">Centro </t>
  </si>
  <si>
    <t>Calle 30 No.31-13</t>
  </si>
  <si>
    <t>Urgencias 24 horas</t>
  </si>
  <si>
    <t>Cl.32 # 22 - 00</t>
  </si>
  <si>
    <t>Principal</t>
  </si>
  <si>
    <t>CL. 32 a # 28-03</t>
  </si>
  <si>
    <t>Principal Palmira</t>
  </si>
  <si>
    <t>IPS Palmira</t>
  </si>
  <si>
    <t>CL 32 # 21 - 74</t>
  </si>
  <si>
    <t>IMPRODUCTIVO</t>
  </si>
  <si>
    <t>PALMIRA - CASA PAYAN</t>
  </si>
  <si>
    <t>CARRERA 28 BIS # 32-31</t>
  </si>
  <si>
    <t>PALMIRA - CASA RICARDO NIETO</t>
  </si>
  <si>
    <t>CARRERA 28 # 32A- 101</t>
  </si>
  <si>
    <t>Edificio Principal</t>
  </si>
  <si>
    <t>CRA. 21 CON CALLE 9 ESQUINA CASA DE LA CULTURAL</t>
  </si>
  <si>
    <t>Biblioteca San Antonio</t>
  </si>
  <si>
    <t>URBANIZACIÓN CASTILLA CASA NO 5 VIA FLORIDA</t>
  </si>
  <si>
    <t>FTDH Palmira</t>
  </si>
  <si>
    <t>CR 33A # 26-42   PALMIRA</t>
  </si>
  <si>
    <t>Colegio Palmira Estación</t>
  </si>
  <si>
    <t>Bilioteca San Antonio</t>
  </si>
  <si>
    <t>FLORIDA</t>
  </si>
  <si>
    <t xml:space="preserve">CALLE 7 ESQUINA CON CARRERA 9 LT 6 MZ A </t>
  </si>
  <si>
    <t>Biblioteca El Cerrito</t>
  </si>
  <si>
    <t>EL CERRITO</t>
  </si>
  <si>
    <t>Calle 8 # 12-36</t>
  </si>
  <si>
    <t>Drogueria Buga Asilo</t>
  </si>
  <si>
    <t>BUGA</t>
  </si>
  <si>
    <t>Cl 16A # 7-125</t>
  </si>
  <si>
    <t>318 4093825</t>
  </si>
  <si>
    <t>Cr 12 # 6-24</t>
  </si>
  <si>
    <t>Drogueria Buga Parque Cabal</t>
  </si>
  <si>
    <t>Cr 14 # 7-02</t>
  </si>
  <si>
    <t>Droguería Buga Estación</t>
  </si>
  <si>
    <t>Cl 4 # 19-24</t>
  </si>
  <si>
    <t>Drogueria Buga Albergue</t>
  </si>
  <si>
    <t>Cr 9 sur #7 sur 7</t>
  </si>
  <si>
    <t>Principal Buga</t>
  </si>
  <si>
    <t>Carrera 17 # 5 - 12/26/38/62</t>
  </si>
  <si>
    <t>Centro Recreativo</t>
  </si>
  <si>
    <t>Carrera 12 esquina con calle 21 Sur - Vía Quebrada Seca</t>
  </si>
  <si>
    <t>FTDH La Ventura</t>
  </si>
  <si>
    <t>Carrera 18 No. 18 A - 42</t>
  </si>
  <si>
    <t xml:space="preserve"> Principal Buga</t>
  </si>
  <si>
    <t>AGENCIA EMPLEO</t>
  </si>
  <si>
    <t>Santa Bárbara</t>
  </si>
  <si>
    <t>Carrera 9 # 11-52</t>
  </si>
  <si>
    <t>Centro Vacacional</t>
  </si>
  <si>
    <t xml:space="preserve">CALIMA EL DARIÉN </t>
  </si>
  <si>
    <t>Centro Recreativo.</t>
  </si>
  <si>
    <t>Principal Tuluá</t>
  </si>
  <si>
    <t>TULUÁ</t>
  </si>
  <si>
    <t>317 8929192</t>
  </si>
  <si>
    <t>Cra 35 Tuluá</t>
  </si>
  <si>
    <t>Cr 35 # 26-31</t>
  </si>
  <si>
    <t>La Victoria</t>
  </si>
  <si>
    <t>Calle 29 No. 35-12</t>
  </si>
  <si>
    <t>Rapitienda 24 horas</t>
  </si>
  <si>
    <t>Cr 39 # 27 -45</t>
  </si>
  <si>
    <t>IPS Delicias</t>
  </si>
  <si>
    <t>CARRERA 18 # 25-60</t>
  </si>
  <si>
    <t>CARRERA 21 No.39-72</t>
  </si>
  <si>
    <t>FTDH Tuluá</t>
  </si>
  <si>
    <t>CRA 37 # 28-48</t>
  </si>
  <si>
    <t>Biblioteca Alfonso Potes</t>
  </si>
  <si>
    <t>BUGALAGRANDE</t>
  </si>
  <si>
    <t>Calle 5 # 5-55</t>
  </si>
  <si>
    <t>Bugalagrande</t>
  </si>
  <si>
    <t>COMERCIAL</t>
  </si>
  <si>
    <t>CIS</t>
  </si>
  <si>
    <t>ZARZAL</t>
  </si>
  <si>
    <t>ROLDANILLO</t>
  </si>
  <si>
    <t>WILLIAM RAMIREZ</t>
  </si>
  <si>
    <t>316 5632078</t>
  </si>
  <si>
    <t>Principal Cartago</t>
  </si>
  <si>
    <t>CARTAGO</t>
  </si>
  <si>
    <t>Sede administrativa Cartago</t>
  </si>
  <si>
    <t>Cra 5 # 9-38</t>
  </si>
  <si>
    <t>IETDH Santiago Plaza Cartago</t>
  </si>
  <si>
    <t>Calle 14 No.11-19, local 30A</t>
  </si>
  <si>
    <t>Clínica Cartago</t>
  </si>
  <si>
    <t>Calle 23 No. 4AN-35</t>
  </si>
  <si>
    <t>IPS Cartago</t>
  </si>
  <si>
    <t>Cra.4 No.9-45</t>
  </si>
  <si>
    <t>Rapitienda Santa Lucía</t>
  </si>
  <si>
    <t>Cr 5 Norte # 18-80, bloque B</t>
  </si>
  <si>
    <t xml:space="preserve">Edificio Buenaventura </t>
  </si>
  <si>
    <t>Locales 101 y 102 Carrera 2a # 2 - 25/39 y Calle 3 # 2 - 50/60</t>
  </si>
  <si>
    <t xml:space="preserve">PTE POR CONFIRMAR </t>
  </si>
  <si>
    <t>Bella Vista</t>
  </si>
  <si>
    <t>Calle 5B #45-64</t>
  </si>
  <si>
    <t>Sede Administrativa</t>
  </si>
  <si>
    <t>Cra 2A # 2 - 39</t>
  </si>
  <si>
    <t>CAMPUS E CENTRO</t>
  </si>
  <si>
    <t xml:space="preserve">CRONOGRAMA GENERAL MANTENIMIENTO PROGRAMADO </t>
  </si>
  <si>
    <t>JUNIO</t>
  </si>
  <si>
    <t xml:space="preserve">SEDE  </t>
  </si>
  <si>
    <t>TIPO</t>
  </si>
  <si>
    <t>Horas Programadas Mes</t>
  </si>
  <si>
    <t xml:space="preserve">FECHA INICIO </t>
  </si>
  <si>
    <t xml:space="preserve">FECHA FIN </t>
  </si>
  <si>
    <t>DIAS</t>
  </si>
  <si>
    <t>Grupo</t>
  </si>
  <si>
    <t>IH</t>
  </si>
  <si>
    <t>P10</t>
  </si>
  <si>
    <t>P11</t>
  </si>
  <si>
    <t>P12</t>
  </si>
  <si>
    <t>PIS</t>
  </si>
  <si>
    <t>COT</t>
  </si>
  <si>
    <t>FIT</t>
  </si>
  <si>
    <t>P1</t>
  </si>
  <si>
    <t>P2</t>
  </si>
  <si>
    <t>P3</t>
  </si>
  <si>
    <t>P4</t>
  </si>
  <si>
    <t>P5</t>
  </si>
  <si>
    <t>P6</t>
  </si>
  <si>
    <t>P7</t>
  </si>
  <si>
    <t xml:space="preserve">P8 </t>
  </si>
  <si>
    <t>P9</t>
  </si>
  <si>
    <t>IH1</t>
  </si>
  <si>
    <t>IH2</t>
  </si>
  <si>
    <t>IH3</t>
  </si>
  <si>
    <t>IH4</t>
  </si>
  <si>
    <t>Jaminton Angulo</t>
  </si>
  <si>
    <t>Johanny Betancourt</t>
  </si>
  <si>
    <t>IH5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</si>
</sst>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quot;$&quot;\ * #,##0_-;\-&quot;$&quot;\ * #,##0_-;_-&quot;$&quot;\ * &quot;-&quot;_-;_-@_-"/>
    <numFmt numFmtId="165" formatCode="0.0"/>
    <numFmt numFmtId="166" formatCode="[$-240A]General"/>
    <numFmt numFmtId="167" formatCode="0.0%"/>
    <numFmt numFmtId="168" formatCode="[$-F800]dddd\,\ mmmm\ dd\,\ yyyy"/>
  </numFmts>
  <fonts count="16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13"/>
      <color theme="1" tint="0.24994659260841701"/>
      <name val="Calibri Light"/>
      <family val="2"/>
      <scheme val="major"/>
    </font>
    <font>
      <sz val="11"/>
      <color theme="1" tint="0.24994659260841701"/>
      <name val="Calibri Light"/>
      <family val="2"/>
      <scheme val="major"/>
    </font>
    <font>
      <b/>
      <sz val="13"/>
      <color theme="7"/>
      <name val="Calibri Light"/>
      <family val="2"/>
      <scheme val="major"/>
    </font>
    <font>
      <b/>
      <sz val="13"/>
      <color theme="1"/>
      <name val="Calibri Light"/>
      <family val="2"/>
      <scheme val="major"/>
    </font>
    <font>
      <b/>
      <sz val="22"/>
      <color theme="1" tint="0.24994659260841701"/>
      <name val="Calibri Light"/>
      <family val="2"/>
      <scheme val="major"/>
    </font>
    <font>
      <sz val="14"/>
      <color theme="1" tint="0.24994659260841701"/>
      <name val="Calibri"/>
      <family val="2"/>
      <scheme val="minor"/>
    </font>
    <font>
      <sz val="12"/>
      <color theme="1"/>
      <name val="Calibri"/>
      <family val="2"/>
    </font>
    <font>
      <sz val="12"/>
      <color indexed="8"/>
      <name val="Calibri"/>
      <family val="2"/>
    </font>
    <font>
      <sz val="11"/>
      <color indexed="8"/>
      <name val="Corbel"/>
      <family val="2"/>
    </font>
    <font>
      <b/>
      <sz val="11"/>
      <color theme="1" tint="0.24994659260841701"/>
      <name val="Calibri"/>
      <family val="2"/>
      <scheme val="minor"/>
    </font>
    <font>
      <b/>
      <sz val="12"/>
      <color theme="1"/>
      <name val="Calibri"/>
      <family val="2"/>
      <scheme val="minor"/>
    </font>
    <font>
      <sz val="12"/>
      <color theme="1" tint="0.24994659260841701"/>
      <name val="Calibri"/>
      <family val="2"/>
    </font>
    <font>
      <b/>
      <sz val="42"/>
      <color theme="7"/>
      <name val="Calibri Light"/>
      <family val="2"/>
      <scheme val="major"/>
    </font>
    <font>
      <b/>
      <sz val="9.5"/>
      <color theme="1" tint="0.499984740745262"/>
      <name val="Calibri"/>
      <family val="2"/>
      <scheme val="minor"/>
    </font>
    <font>
      <b/>
      <sz val="9.5"/>
      <color theme="1"/>
      <name val="Calibri"/>
      <family val="2"/>
      <scheme val="minor"/>
    </font>
    <font>
      <b/>
      <sz val="10"/>
      <color theme="0"/>
      <name val="Calibri"/>
      <family val="2"/>
      <scheme val="minor"/>
    </font>
    <font>
      <b/>
      <sz val="12"/>
      <color theme="0"/>
      <name val="Calibri Light"/>
      <family val="2"/>
      <scheme val="major"/>
    </font>
    <font>
      <b/>
      <sz val="12"/>
      <color theme="0"/>
      <name val="Calibri"/>
      <family val="2"/>
    </font>
    <font>
      <b/>
      <sz val="11"/>
      <color theme="0"/>
      <name val="Calibri Light"/>
      <family val="2"/>
      <scheme val="major"/>
    </font>
    <font>
      <b/>
      <sz val="11"/>
      <name val="Calibri Light"/>
      <family val="2"/>
      <scheme val="major"/>
    </font>
    <font>
      <b/>
      <sz val="12"/>
      <color rgb="FF404040"/>
      <name val="Calibri"/>
      <family val="2"/>
    </font>
    <font>
      <b/>
      <sz val="12"/>
      <color theme="1"/>
      <name val="Calibri"/>
      <family val="2"/>
    </font>
    <font>
      <b/>
      <sz val="11"/>
      <color theme="1" tint="0.24994659260841701"/>
      <name val="Calibri Light"/>
      <family val="2"/>
      <scheme val="major"/>
    </font>
    <font>
      <b/>
      <sz val="11"/>
      <color rgb="FFFF0000"/>
      <name val="Calibri"/>
      <family val="2"/>
      <scheme val="minor"/>
    </font>
    <font>
      <sz val="10"/>
      <name val="Calibri"/>
      <family val="2"/>
      <scheme val="minor"/>
    </font>
    <font>
      <b/>
      <sz val="8"/>
      <color theme="0"/>
      <name val="Calibri"/>
      <family val="2"/>
      <scheme val="minor"/>
    </font>
    <font>
      <b/>
      <sz val="8"/>
      <color theme="0"/>
      <name val="Calibri"/>
      <family val="2"/>
    </font>
    <font>
      <sz val="8"/>
      <color theme="1" tint="0.24994659260841701"/>
      <name val="Calibri Light"/>
      <family val="2"/>
      <scheme val="major"/>
    </font>
    <font>
      <sz val="12"/>
      <color theme="1"/>
      <name val="Calibri"/>
      <family val="2"/>
      <scheme val="minor"/>
    </font>
    <font>
      <b/>
      <sz val="9"/>
      <color theme="0"/>
      <name val="Calibri"/>
      <family val="2"/>
      <scheme val="minor"/>
    </font>
    <font>
      <b/>
      <sz val="12"/>
      <name val="Calibri Light"/>
      <family val="2"/>
      <scheme val="major"/>
    </font>
    <font>
      <b/>
      <sz val="9"/>
      <color theme="1"/>
      <name val="Calibri"/>
      <family val="2"/>
      <scheme val="minor"/>
    </font>
    <font>
      <b/>
      <sz val="8"/>
      <color rgb="FFFF0000"/>
      <name val="Calibri"/>
      <family val="2"/>
      <scheme val="minor"/>
    </font>
    <font>
      <sz val="7"/>
      <color theme="1"/>
      <name val="Calibri"/>
      <family val="2"/>
      <scheme val="minor"/>
    </font>
    <font>
      <b/>
      <sz val="7"/>
      <color rgb="FFFF0000"/>
      <name val="Calibri"/>
      <family val="2"/>
      <scheme val="minor"/>
    </font>
    <font>
      <b/>
      <sz val="14"/>
      <color theme="1"/>
      <name val="Calibri"/>
      <family val="2"/>
      <scheme val="minor"/>
    </font>
    <font>
      <b/>
      <sz val="11"/>
      <color theme="1"/>
      <name val="Calibri Light"/>
      <family val="2"/>
      <scheme val="major"/>
    </font>
    <font>
      <sz val="11"/>
      <color indexed="8"/>
      <name val="Calibri"/>
      <family val="2"/>
    </font>
    <font>
      <sz val="9"/>
      <color indexed="81"/>
      <name val="Tahoma"/>
      <family val="2"/>
    </font>
    <font>
      <b/>
      <sz val="9"/>
      <color indexed="81"/>
      <name val="Tahoma"/>
      <family val="2"/>
    </font>
    <font>
      <sz val="11"/>
      <color rgb="FF000000"/>
      <name val="Calibri"/>
      <family val="2"/>
    </font>
    <font>
      <b/>
      <sz val="25"/>
      <color theme="1"/>
      <name val="Algerian"/>
      <family val="5"/>
    </font>
    <font>
      <b/>
      <sz val="14"/>
      <color rgb="FF002060"/>
      <name val="Arial Black"/>
      <family val="2"/>
    </font>
    <font>
      <b/>
      <sz val="13"/>
      <color rgb="FFC00000"/>
      <name val="Arial Unicode MS"/>
      <family val="2"/>
    </font>
    <font>
      <b/>
      <sz val="13"/>
      <color theme="8" tint="-0.249977111117893"/>
      <name val="Arial Unicode MS"/>
      <family val="2"/>
    </font>
    <font>
      <b/>
      <sz val="30"/>
      <color theme="1"/>
      <name val="Algerian"/>
      <family val="5"/>
    </font>
    <font>
      <b/>
      <sz val="28"/>
      <color theme="1" tint="0.24994659260841701"/>
      <name val="Arial Black"/>
      <family val="2"/>
    </font>
    <font>
      <b/>
      <sz val="18"/>
      <color theme="1"/>
      <name val="Arial Black"/>
      <family val="2"/>
    </font>
    <font>
      <b/>
      <sz val="10"/>
      <color theme="1"/>
      <name val="Calibri"/>
      <family val="2"/>
      <scheme val="minor"/>
    </font>
    <font>
      <b/>
      <sz val="11"/>
      <color theme="0"/>
      <name val="Calibri"/>
      <family val="2"/>
    </font>
    <font>
      <b/>
      <sz val="13"/>
      <color rgb="FF7030A0"/>
      <name val="Arial Unicode MS"/>
      <family val="2"/>
    </font>
    <font>
      <sz val="11"/>
      <color rgb="FF000000"/>
      <name val="Calibri"/>
      <family val="2"/>
      <scheme val="minor"/>
    </font>
    <font>
      <b/>
      <sz val="10"/>
      <color rgb="FFFFFFFF"/>
      <name val="Calibri"/>
      <family val="2"/>
      <scheme val="minor"/>
    </font>
    <font>
      <b/>
      <sz val="10"/>
      <name val="Calibri Light"/>
      <family val="2"/>
    </font>
    <font>
      <sz val="10"/>
      <name val="Calibri Light"/>
      <family val="2"/>
    </font>
    <font>
      <sz val="10"/>
      <color rgb="FF000000"/>
      <name val="Calibri"/>
      <family val="2"/>
      <scheme val="minor"/>
    </font>
    <font>
      <b/>
      <sz val="28"/>
      <color rgb="FF000000"/>
      <name val="Algerian"/>
      <family val="5"/>
    </font>
    <font>
      <b/>
      <sz val="11"/>
      <color rgb="FFFFFFFF"/>
      <name val="Calibri"/>
      <family val="2"/>
      <scheme val="minor"/>
    </font>
    <font>
      <b/>
      <sz val="22"/>
      <color theme="1"/>
      <name val="Algerian"/>
      <family val="5"/>
    </font>
    <font>
      <b/>
      <sz val="11"/>
      <color rgb="FFFF0000"/>
      <name val="Calibri Light"/>
      <family val="2"/>
      <scheme val="major"/>
    </font>
    <font>
      <b/>
      <sz val="8"/>
      <color rgb="FFFF0000"/>
      <name val="Calibri Light"/>
      <family val="2"/>
      <scheme val="major"/>
    </font>
    <font>
      <b/>
      <sz val="12"/>
      <name val="Calibri"/>
      <family val="2"/>
    </font>
    <font>
      <b/>
      <sz val="12"/>
      <color rgb="FF002060"/>
      <name val="Arial Black"/>
      <family val="2"/>
    </font>
    <font>
      <b/>
      <sz val="10"/>
      <color rgb="FF002060"/>
      <name val="Arial Black"/>
      <family val="2"/>
    </font>
    <font>
      <b/>
      <sz val="11"/>
      <color rgb="FFC00000"/>
      <name val="Calibri"/>
      <family val="2"/>
      <scheme val="minor"/>
    </font>
    <font>
      <b/>
      <sz val="11"/>
      <color rgb="FF000000"/>
      <name val="Calibri"/>
      <family val="2"/>
    </font>
    <font>
      <b/>
      <sz val="8"/>
      <color rgb="FF000000"/>
      <name val="Calibri"/>
      <family val="2"/>
    </font>
    <font>
      <b/>
      <sz val="12"/>
      <color rgb="FF000000"/>
      <name val="Calibri"/>
      <family val="2"/>
    </font>
    <font>
      <sz val="8"/>
      <color rgb="FF000000"/>
      <name val="Calibri"/>
      <family val="2"/>
    </font>
    <font>
      <sz val="9"/>
      <color rgb="FF000000"/>
      <name val="Calibri"/>
      <family val="2"/>
    </font>
    <font>
      <b/>
      <sz val="18"/>
      <color rgb="FF000000"/>
      <name val="Calibri"/>
      <family val="2"/>
    </font>
    <font>
      <sz val="10"/>
      <color rgb="FF000000"/>
      <name val="Calibri"/>
      <family val="2"/>
    </font>
    <font>
      <b/>
      <sz val="11"/>
      <color rgb="FF002060"/>
      <name val="Arial Black"/>
      <family val="2"/>
    </font>
    <font>
      <b/>
      <sz val="10"/>
      <color rgb="FFFF0000"/>
      <name val="Calibri"/>
      <family val="2"/>
      <scheme val="minor"/>
    </font>
    <font>
      <b/>
      <sz val="10"/>
      <name val="Calibri Light"/>
      <family val="2"/>
      <scheme val="major"/>
    </font>
    <font>
      <sz val="10"/>
      <name val="Calibri Light"/>
      <family val="2"/>
      <scheme val="major"/>
    </font>
    <font>
      <b/>
      <sz val="11"/>
      <color rgb="FF000000"/>
      <name val="Calibri"/>
      <family val="2"/>
      <scheme val="minor"/>
    </font>
    <font>
      <u/>
      <sz val="11"/>
      <color theme="10"/>
      <name val="Calibri"/>
      <family val="2"/>
      <scheme val="minor"/>
    </font>
    <font>
      <b/>
      <sz val="10"/>
      <color theme="0"/>
      <name val="Calibri"/>
      <family val="2"/>
    </font>
    <font>
      <sz val="10"/>
      <name val="Calibri"/>
      <family val="2"/>
    </font>
    <font>
      <sz val="9"/>
      <color theme="1"/>
      <name val="Calibri"/>
      <family val="2"/>
      <scheme val="minor"/>
    </font>
    <font>
      <sz val="9"/>
      <name val="Calibri"/>
      <family val="2"/>
    </font>
    <font>
      <sz val="10"/>
      <color rgb="FF242424"/>
      <name val="Segoe UI"/>
      <family val="2"/>
    </font>
    <font>
      <sz val="11"/>
      <color rgb="FF242424"/>
      <name val="Segoe UI"/>
      <family val="2"/>
    </font>
    <font>
      <sz val="9"/>
      <color rgb="FF444444"/>
      <name val="Arial"/>
      <family val="2"/>
    </font>
    <font>
      <sz val="14"/>
      <color rgb="FF000000"/>
      <name val="Calibri"/>
      <family val="2"/>
      <scheme val="minor"/>
    </font>
    <font>
      <sz val="9"/>
      <color theme="1"/>
      <name val="Times New Roman"/>
      <family val="1"/>
    </font>
    <font>
      <sz val="12"/>
      <color rgb="FF444444"/>
      <name val="Times New Roman"/>
      <family val="1"/>
    </font>
    <font>
      <sz val="10"/>
      <name val="Arial"/>
      <family val="2"/>
    </font>
    <font>
      <sz val="13"/>
      <color rgb="FF323130"/>
      <name val="Segoe UI"/>
      <family val="2"/>
    </font>
    <font>
      <sz val="14"/>
      <color rgb="FF000000"/>
      <name val="Segoe UI"/>
      <family val="2"/>
    </font>
    <font>
      <i/>
      <sz val="9"/>
      <color theme="1"/>
      <name val="Calibri"/>
      <family val="2"/>
      <scheme val="minor"/>
    </font>
    <font>
      <sz val="10"/>
      <color theme="1"/>
      <name val="Calibri"/>
      <family val="2"/>
    </font>
    <font>
      <sz val="14"/>
      <color rgb="FF202124"/>
      <name val="Arial"/>
      <family val="2"/>
    </font>
    <font>
      <i/>
      <sz val="10"/>
      <name val="Calibri"/>
      <family val="2"/>
      <scheme val="minor"/>
    </font>
    <font>
      <sz val="9"/>
      <color indexed="8"/>
      <name val="Calibri"/>
      <family val="2"/>
    </font>
    <font>
      <b/>
      <sz val="9"/>
      <color indexed="8"/>
      <name val="Calibri"/>
      <family val="2"/>
    </font>
    <font>
      <sz val="14"/>
      <color rgb="FF404040"/>
      <name val="Calibri"/>
      <family val="2"/>
      <scheme val="minor"/>
    </font>
    <font>
      <b/>
      <sz val="14"/>
      <color indexed="63"/>
      <name val="Calibri"/>
      <family val="2"/>
    </font>
    <font>
      <sz val="14"/>
      <color indexed="63"/>
      <name val="Calibri"/>
      <family val="2"/>
    </font>
    <font>
      <sz val="11"/>
      <color rgb="FF201F1E"/>
      <name val="Segoe UI"/>
      <family val="2"/>
    </font>
    <font>
      <sz val="14"/>
      <color theme="1"/>
      <name val="Calibri"/>
      <family val="2"/>
      <scheme val="minor"/>
    </font>
    <font>
      <b/>
      <sz val="9"/>
      <color rgb="FF404040"/>
      <name val="Calibri"/>
      <family val="2"/>
      <scheme val="minor"/>
    </font>
    <font>
      <sz val="9"/>
      <color indexed="63"/>
      <name val="Calibri"/>
      <family val="2"/>
    </font>
    <font>
      <b/>
      <sz val="9"/>
      <color indexed="63"/>
      <name val="Calibri"/>
      <family val="2"/>
    </font>
    <font>
      <sz val="10"/>
      <color theme="1"/>
      <name val="Calibri"/>
      <family val="2"/>
      <scheme val="minor"/>
    </font>
    <font>
      <sz val="10"/>
      <color rgb="FF242424"/>
      <name val="Calibri"/>
      <family val="2"/>
      <scheme val="minor"/>
    </font>
    <font>
      <b/>
      <sz val="10"/>
      <color rgb="FF242424"/>
      <name val="Calibri"/>
      <family val="2"/>
      <scheme val="minor"/>
    </font>
    <font>
      <b/>
      <u/>
      <sz val="10"/>
      <color theme="1"/>
      <name val="Calibri"/>
      <family val="2"/>
      <scheme val="minor"/>
    </font>
    <font>
      <b/>
      <sz val="14"/>
      <color theme="0"/>
      <name val="Calibri"/>
      <family val="2"/>
    </font>
    <font>
      <b/>
      <sz val="14"/>
      <color rgb="FF0000FF"/>
      <name val="Calibri"/>
      <family val="2"/>
      <scheme val="minor"/>
    </font>
    <font>
      <b/>
      <sz val="14"/>
      <color rgb="FF404040"/>
      <name val="Calibri"/>
      <family val="2"/>
      <scheme val="minor"/>
    </font>
    <font>
      <sz val="14"/>
      <color rgb="FF444444"/>
      <name val="Calibri"/>
      <family val="2"/>
      <scheme val="minor"/>
    </font>
    <font>
      <b/>
      <sz val="14"/>
      <color rgb="FF444444"/>
      <name val="Calibri"/>
      <family val="2"/>
      <scheme val="minor"/>
    </font>
    <font>
      <sz val="14"/>
      <color rgb="FF242424"/>
      <name val="Segoe UI"/>
      <family val="2"/>
    </font>
    <font>
      <u/>
      <sz val="11"/>
      <color rgb="FF0563C1"/>
      <name val="Calibri"/>
      <family val="2"/>
    </font>
    <font>
      <b/>
      <sz val="11"/>
      <name val="Calibri"/>
      <family val="2"/>
    </font>
    <font>
      <b/>
      <sz val="7"/>
      <color theme="0"/>
      <name val="Calibri"/>
      <family val="2"/>
    </font>
    <font>
      <b/>
      <sz val="14"/>
      <color theme="0"/>
      <name val="Calibri Light"/>
      <family val="2"/>
      <scheme val="major"/>
    </font>
    <font>
      <b/>
      <sz val="14"/>
      <name val="Calibri Light"/>
      <family val="2"/>
      <scheme val="major"/>
    </font>
    <font>
      <b/>
      <sz val="11"/>
      <color rgb="FF002060"/>
      <name val="Calibri"/>
      <family val="2"/>
      <scheme val="minor"/>
    </font>
    <font>
      <sz val="8"/>
      <name val="Calibri"/>
      <family val="2"/>
      <scheme val="minor"/>
    </font>
    <font>
      <sz val="12"/>
      <color rgb="FF000000"/>
      <name val="Segoe UI"/>
      <family val="2"/>
    </font>
    <font>
      <sz val="11"/>
      <color rgb="FF002060"/>
      <name val="Calibri"/>
      <family val="2"/>
      <scheme val="minor"/>
    </font>
    <font>
      <sz val="11"/>
      <color rgb="FF7030A0"/>
      <name val="Calibri"/>
      <family val="2"/>
      <scheme val="minor"/>
    </font>
    <font>
      <sz val="11"/>
      <name val="Calibri"/>
      <family val="2"/>
      <scheme val="minor"/>
    </font>
    <font>
      <b/>
      <sz val="12"/>
      <color rgb="FF0070C0"/>
      <name val="Calibri"/>
      <family val="2"/>
      <scheme val="minor"/>
    </font>
    <font>
      <sz val="11"/>
      <color rgb="FF222222"/>
      <name val="Calibri"/>
      <family val="2"/>
    </font>
    <font>
      <sz val="11"/>
      <color theme="1"/>
      <name val="Calibri"/>
      <family val="2"/>
    </font>
    <font>
      <u/>
      <sz val="11"/>
      <color theme="10"/>
      <name val="Arial"/>
      <family val="2"/>
    </font>
    <font>
      <sz val="11"/>
      <color theme="0"/>
      <name val="Calibri"/>
      <family val="2"/>
      <scheme val="minor"/>
    </font>
    <font>
      <b/>
      <sz val="12"/>
      <color theme="0"/>
      <name val="Calibri"/>
      <family val="2"/>
      <scheme val="minor"/>
    </font>
    <font>
      <sz val="8"/>
      <color rgb="FF002060"/>
      <name val="Calibri"/>
      <family val="2"/>
      <scheme val="minor"/>
    </font>
    <font>
      <b/>
      <sz val="7"/>
      <name val="Calibri"/>
      <family val="2"/>
      <scheme val="minor"/>
    </font>
    <font>
      <b/>
      <sz val="10"/>
      <name val="Calibri"/>
      <family val="2"/>
      <scheme val="minor"/>
    </font>
    <font>
      <b/>
      <sz val="6"/>
      <name val="Calibri"/>
      <family val="2"/>
      <scheme val="minor"/>
    </font>
    <font>
      <b/>
      <sz val="11"/>
      <color theme="1"/>
      <name val="Calibri"/>
      <family val="2"/>
    </font>
    <font>
      <sz val="11"/>
      <color rgb="FFFF0000"/>
      <name val="Calibri"/>
      <family val="2"/>
      <scheme val="minor"/>
    </font>
    <font>
      <b/>
      <sz val="15"/>
      <color rgb="FF00B050"/>
      <name val="Calibri"/>
      <family val="2"/>
      <scheme val="minor"/>
    </font>
    <font>
      <sz val="12"/>
      <color rgb="FFFFFFFF"/>
      <name val="Arial Narrow"/>
      <family val="2"/>
    </font>
    <font>
      <b/>
      <sz val="12"/>
      <color rgb="FFFFFFFF"/>
      <name val="Arial Narrow"/>
      <family val="2"/>
    </font>
    <font>
      <sz val="11"/>
      <color rgb="FF000000"/>
      <name val="Arial"/>
      <family val="2"/>
    </font>
    <font>
      <sz val="11"/>
      <name val="Arial"/>
      <family val="2"/>
    </font>
    <font>
      <b/>
      <sz val="11"/>
      <name val="Arial"/>
      <family val="2"/>
    </font>
    <font>
      <sz val="11"/>
      <color rgb="FF000000"/>
      <name val="Calibri"/>
    </font>
    <font>
      <b/>
      <sz val="11"/>
      <color rgb="FF000000"/>
      <name val="Arial"/>
      <family val="2"/>
    </font>
    <font>
      <sz val="11"/>
      <color rgb="FF9C0006"/>
      <name val="Arial"/>
      <family val="2"/>
    </font>
    <font>
      <u/>
      <sz val="11"/>
      <color rgb="FFFF0000"/>
      <name val="Calibri"/>
      <family val="2"/>
    </font>
    <font>
      <b/>
      <sz val="11"/>
      <color theme="5" tint="0.59999389629810485"/>
      <name val="Calibri Light"/>
      <family val="2"/>
      <scheme val="major"/>
    </font>
    <font>
      <sz val="10"/>
      <color theme="5" tint="0.59999389629810485"/>
      <name val="Calibri Light"/>
      <family val="2"/>
      <scheme val="major"/>
    </font>
    <font>
      <b/>
      <sz val="10"/>
      <color theme="5" tint="0.59999389629810485"/>
      <name val="Calibri Light"/>
      <family val="2"/>
      <scheme val="major"/>
    </font>
    <font>
      <sz val="12"/>
      <color theme="5" tint="0.59999389629810485"/>
      <name val="Calibri"/>
      <family val="2"/>
      <scheme val="minor"/>
    </font>
    <font>
      <b/>
      <sz val="12"/>
      <color rgb="FF404040"/>
      <name val="Calibri"/>
      <family val="2"/>
      <scheme val="minor"/>
    </font>
    <font>
      <b/>
      <sz val="10"/>
      <color theme="4" tint="-0.249977111117893"/>
      <name val="Calibri Light"/>
      <family val="2"/>
      <scheme val="major"/>
    </font>
    <font>
      <sz val="9"/>
      <color rgb="FF000000"/>
      <name val="Calibri"/>
      <scheme val="minor"/>
    </font>
    <font>
      <sz val="9"/>
      <color rgb="FFFF0000"/>
      <name val="Calibri"/>
    </font>
    <font>
      <sz val="9"/>
      <color theme="1"/>
      <name val="Calibri"/>
    </font>
  </fonts>
  <fills count="6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5"/>
        <bgColor indexed="64"/>
      </patternFill>
    </fill>
    <fill>
      <patternFill patternType="lightUp">
        <fgColor theme="7"/>
      </patternFill>
    </fill>
    <fill>
      <patternFill patternType="solid">
        <fgColor theme="8" tint="-0.249977111117893"/>
        <bgColor indexed="64"/>
      </patternFill>
    </fill>
    <fill>
      <patternFill patternType="solid">
        <fgColor rgb="FFC00000"/>
        <bgColor indexed="64"/>
      </patternFill>
    </fill>
    <fill>
      <patternFill patternType="solid">
        <fgColor theme="9" tint="0.59996337778862885"/>
        <bgColor indexed="64"/>
      </patternFill>
    </fill>
    <fill>
      <patternFill patternType="solid">
        <fgColor theme="6" tint="0.79998168889431442"/>
        <bgColor indexed="64"/>
      </patternFill>
    </fill>
    <fill>
      <patternFill patternType="darkUp">
        <fgColor rgb="FF1E9D8B"/>
        <bgColor theme="9" tint="0.79998168889431442"/>
      </patternFill>
    </fill>
    <fill>
      <patternFill patternType="lightUp">
        <fgColor rgb="FFC00000"/>
        <bgColor theme="5" tint="0.79998168889431442"/>
      </patternFill>
    </fill>
    <fill>
      <patternFill patternType="solid">
        <fgColor rgb="FF002060"/>
        <bgColor indexed="64"/>
      </patternFill>
    </fill>
    <fill>
      <patternFill patternType="solid">
        <fgColor rgb="FF00B05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7030A0"/>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EEFF85"/>
        <bgColor indexed="64"/>
      </patternFill>
    </fill>
    <fill>
      <patternFill patternType="solid">
        <fgColor rgb="FFFFC000"/>
        <bgColor indexed="64"/>
      </patternFill>
    </fill>
    <fill>
      <patternFill patternType="solid">
        <fgColor rgb="FF305496"/>
        <bgColor rgb="FF000000"/>
      </patternFill>
    </fill>
    <fill>
      <patternFill patternType="solid">
        <fgColor rgb="FF00B050"/>
        <bgColor rgb="FF000000"/>
      </patternFill>
    </fill>
    <fill>
      <patternFill patternType="solid">
        <fgColor theme="4"/>
        <bgColor indexed="64"/>
      </patternFill>
    </fill>
    <fill>
      <patternFill patternType="solid">
        <fgColor theme="7"/>
        <bgColor indexed="64"/>
      </patternFill>
    </fill>
    <fill>
      <patternFill patternType="solid">
        <fgColor rgb="FFFFC000"/>
        <bgColor rgb="FF000000"/>
      </patternFill>
    </fill>
    <fill>
      <patternFill patternType="solid">
        <fgColor rgb="FFEDEDED"/>
        <bgColor rgb="FF000000"/>
      </patternFill>
    </fill>
    <fill>
      <patternFill patternType="solid">
        <fgColor rgb="FFA9D08E"/>
        <bgColor rgb="FF000000"/>
      </patternFill>
    </fill>
    <fill>
      <patternFill patternType="solid">
        <fgColor rgb="FFB4C6E7"/>
        <bgColor rgb="FF000000"/>
      </patternFill>
    </fill>
    <fill>
      <patternFill patternType="solid">
        <fgColor rgb="FFAEAAAA"/>
        <bgColor rgb="FF000000"/>
      </patternFill>
    </fill>
    <fill>
      <patternFill patternType="solid">
        <fgColor rgb="FFFFFFFF"/>
        <bgColor rgb="FF000000"/>
      </patternFill>
    </fill>
    <fill>
      <patternFill patternType="solid">
        <fgColor rgb="FFD1139F"/>
        <bgColor indexed="64"/>
      </patternFill>
    </fill>
    <fill>
      <patternFill patternType="solid">
        <fgColor rgb="FFFFFFFF"/>
        <bgColor indexed="64"/>
      </patternFill>
    </fill>
    <fill>
      <patternFill patternType="solid">
        <fgColor theme="0"/>
        <bgColor rgb="FFD0CECE"/>
      </patternFill>
    </fill>
    <fill>
      <patternFill patternType="solid">
        <fgColor theme="0"/>
        <bgColor rgb="FFE7E6E6"/>
      </patternFill>
    </fill>
    <fill>
      <patternFill patternType="solid">
        <fgColor theme="0"/>
        <bgColor rgb="FFFFFFFF"/>
      </patternFill>
    </fill>
    <fill>
      <patternFill patternType="solid">
        <fgColor theme="0"/>
        <bgColor indexed="26"/>
      </patternFill>
    </fill>
    <fill>
      <patternFill patternType="solid">
        <fgColor theme="6" tint="0.79998168889431442"/>
        <bgColor rgb="FF000000"/>
      </patternFill>
    </fill>
    <fill>
      <patternFill patternType="solid">
        <fgColor rgb="FFEEFF85"/>
        <bgColor rgb="FF000000"/>
      </patternFill>
    </fill>
    <fill>
      <patternFill patternType="solid">
        <fgColor theme="0"/>
        <bgColor rgb="FF000000"/>
      </patternFill>
    </fill>
    <fill>
      <patternFill patternType="solid">
        <fgColor theme="4"/>
        <bgColor theme="4"/>
      </patternFill>
    </fill>
    <fill>
      <patternFill patternType="solid">
        <fgColor theme="0"/>
        <bgColor theme="4" tint="0.79998168889431442"/>
      </patternFill>
    </fill>
    <fill>
      <patternFill patternType="solid">
        <fgColor theme="0" tint="-0.499984740745262"/>
        <bgColor indexed="64"/>
      </patternFill>
    </fill>
    <fill>
      <patternFill patternType="solid">
        <fgColor theme="5"/>
        <bgColor theme="4" tint="0.79998168889431442"/>
      </patternFill>
    </fill>
    <fill>
      <patternFill patternType="solid">
        <fgColor rgb="FF00B0F0"/>
        <bgColor indexed="64"/>
      </patternFill>
    </fill>
    <fill>
      <patternFill patternType="solid">
        <fgColor rgb="FFFFFFFF"/>
        <bgColor rgb="FFFFFFFF"/>
      </patternFill>
    </fill>
    <fill>
      <patternFill patternType="solid">
        <fgColor theme="4" tint="-0.499984740745262"/>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2060"/>
        <bgColor rgb="FF000000"/>
      </patternFill>
    </fill>
    <fill>
      <patternFill patternType="solid">
        <fgColor rgb="FFBDD7EE"/>
        <bgColor rgb="FF000000"/>
      </patternFill>
    </fill>
    <fill>
      <patternFill patternType="solid">
        <fgColor rgb="FFC6E0B4"/>
        <bgColor rgb="FF000000"/>
      </patternFill>
    </fill>
    <fill>
      <patternFill patternType="solid">
        <fgColor rgb="FFCCCCFF"/>
        <bgColor rgb="FF000000"/>
      </patternFill>
    </fill>
    <fill>
      <patternFill patternType="solid">
        <fgColor rgb="FFFFFF00"/>
        <bgColor rgb="FF000000"/>
      </patternFill>
    </fill>
    <fill>
      <patternFill patternType="solid">
        <fgColor rgb="FFF8E2C4"/>
        <bgColor rgb="FF000000"/>
      </patternFill>
    </fill>
    <fill>
      <patternFill patternType="solid">
        <fgColor rgb="FF92D050"/>
        <bgColor rgb="FF000000"/>
      </patternFill>
    </fill>
    <fill>
      <patternFill patternType="solid">
        <fgColor rgb="FF0BB0B9"/>
        <bgColor rgb="FF000000"/>
      </patternFill>
    </fill>
    <fill>
      <patternFill patternType="solid">
        <fgColor rgb="FFF4B084"/>
        <bgColor rgb="FF000000"/>
      </patternFill>
    </fill>
    <fill>
      <patternFill patternType="solid">
        <fgColor rgb="FFFFC7CE"/>
        <bgColor rgb="FF000000"/>
      </patternFill>
    </fill>
    <fill>
      <patternFill patternType="solid">
        <fgColor rgb="FFA6A6A6"/>
        <bgColor rgb="FF000000"/>
      </patternFill>
    </fill>
    <fill>
      <patternFill patternType="solid">
        <fgColor theme="9" tint="0.79998168889431442"/>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right/>
      <top style="thin">
        <color theme="9" tint="-0.24994659260841701"/>
      </top>
      <bottom style="thin">
        <color theme="9" tint="-0.24994659260841701"/>
      </bottom>
      <diagonal/>
    </border>
    <border>
      <left/>
      <right/>
      <top/>
      <bottom style="thin">
        <color theme="7"/>
      </bottom>
      <diagonal/>
    </border>
    <border>
      <left/>
      <right style="dotted">
        <color theme="0" tint="-0.14999847407452621"/>
      </right>
      <top style="dotted">
        <color theme="0" tint="-0.14999847407452621"/>
      </top>
      <bottom style="dotted">
        <color theme="0" tint="-0.14999847407452621"/>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dashDotDot">
        <color theme="2"/>
      </left>
      <right style="dashDotDot">
        <color theme="2"/>
      </right>
      <top style="dashDotDot">
        <color theme="2"/>
      </top>
      <bottom style="dashDotDot">
        <color theme="2"/>
      </bottom>
      <diagonal/>
    </border>
    <border>
      <left style="dashDotDot">
        <color theme="0" tint="-4.9989318521683403E-2"/>
      </left>
      <right style="dashDotDot">
        <color theme="0" tint="-4.9989318521683403E-2"/>
      </right>
      <top style="dashDotDot">
        <color theme="0" tint="-4.9989318521683403E-2"/>
      </top>
      <bottom style="dashDotDot">
        <color theme="0" tint="-4.9989318521683403E-2"/>
      </bottom>
      <diagonal/>
    </border>
    <border>
      <left style="dashDotDot">
        <color theme="2" tint="-9.9978637043366805E-2"/>
      </left>
      <right style="dashDotDot">
        <color theme="2" tint="-9.9978637043366805E-2"/>
      </right>
      <top style="dashDotDot">
        <color theme="2" tint="-9.9978637043366805E-2"/>
      </top>
      <bottom style="dashDotDot">
        <color theme="2" tint="-9.9978637043366805E-2"/>
      </bottom>
      <diagonal/>
    </border>
    <border>
      <left style="dashDotDot">
        <color theme="9" tint="-0.249977111117893"/>
      </left>
      <right style="dashDotDot">
        <color theme="9" tint="-0.249977111117893"/>
      </right>
      <top style="dashDotDot">
        <color theme="9" tint="-0.249977111117893"/>
      </top>
      <bottom style="dashDotDot">
        <color theme="9" tint="-0.249977111117893"/>
      </bottom>
      <diagonal/>
    </border>
    <border>
      <left/>
      <right style="dashDotDot">
        <color theme="2" tint="-9.9978637043366805E-2"/>
      </right>
      <top/>
      <bottom style="dashDotDot">
        <color theme="2" tint="-9.9978637043366805E-2"/>
      </bottom>
      <diagonal/>
    </border>
    <border>
      <left style="dashDotDot">
        <color theme="2" tint="-9.9978637043366805E-2"/>
      </left>
      <right style="dashDotDot">
        <color theme="2" tint="-9.9978637043366805E-2"/>
      </right>
      <top/>
      <bottom style="dashDotDot">
        <color theme="2" tint="-9.9978637043366805E-2"/>
      </bottom>
      <diagonal/>
    </border>
    <border>
      <left style="dashDotDot">
        <color theme="2"/>
      </left>
      <right style="dashDotDot">
        <color theme="2"/>
      </right>
      <top style="dashDotDot">
        <color theme="2"/>
      </top>
      <bottom/>
      <diagonal/>
    </border>
    <border>
      <left style="thin">
        <color theme="1"/>
      </left>
      <right style="thin">
        <color theme="1"/>
      </right>
      <top style="thin">
        <color theme="1"/>
      </top>
      <bottom/>
      <diagonal/>
    </border>
    <border>
      <left style="dashDotDot">
        <color theme="2" tint="-9.9978637043366805E-2"/>
      </left>
      <right/>
      <top/>
      <bottom style="dashDotDot">
        <color theme="2" tint="-9.9978637043366805E-2"/>
      </bottom>
      <diagonal/>
    </border>
    <border>
      <left style="dashDotDot">
        <color theme="2" tint="-9.9978637043366805E-2"/>
      </left>
      <right/>
      <top style="dashDotDot">
        <color theme="2" tint="-9.9978637043366805E-2"/>
      </top>
      <bottom style="dashDotDot">
        <color theme="2" tint="-9.9978637043366805E-2"/>
      </bottom>
      <diagonal/>
    </border>
    <border>
      <left style="thin">
        <color indexed="64"/>
      </left>
      <right style="thin">
        <color indexed="64"/>
      </right>
      <top style="medium">
        <color indexed="64"/>
      </top>
      <bottom/>
      <diagonal/>
    </border>
    <border>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dashDotDot">
        <color theme="2"/>
      </left>
      <right style="dashDotDot">
        <color theme="2"/>
      </right>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dashDotDot">
        <color theme="0" tint="-4.9989318521683403E-2"/>
      </left>
      <right/>
      <top style="dashDotDot">
        <color theme="0" tint="-4.9989318521683403E-2"/>
      </top>
      <bottom style="dashDotDot">
        <color theme="0" tint="-4.9989318521683403E-2"/>
      </bottom>
      <diagonal/>
    </border>
    <border>
      <left/>
      <right/>
      <top style="dashDotDot">
        <color theme="0" tint="-4.9989318521683403E-2"/>
      </top>
      <bottom style="dashDotDot">
        <color theme="0" tint="-4.9989318521683403E-2"/>
      </bottom>
      <diagonal/>
    </border>
    <border>
      <left/>
      <right style="dashDotDot">
        <color theme="0" tint="-4.9989318521683403E-2"/>
      </right>
      <top style="dashDotDot">
        <color theme="0" tint="-4.9989318521683403E-2"/>
      </top>
      <bottom style="dashDotDot">
        <color theme="0" tint="-4.9989318521683403E-2"/>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dashDotDot">
        <color theme="2"/>
      </left>
      <right/>
      <top/>
      <bottom/>
      <diagonal/>
    </border>
    <border>
      <left/>
      <right style="thin">
        <color indexed="64"/>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dashDotDot">
        <color theme="9" tint="-0.249977111117893"/>
      </left>
      <right style="dashDotDot">
        <color theme="9" tint="-0.249977111117893"/>
      </right>
      <top style="dashDotDot">
        <color theme="9" tint="-0.249977111117893"/>
      </top>
      <bottom/>
      <diagonal/>
    </border>
    <border>
      <left style="thin">
        <color theme="4"/>
      </left>
      <right/>
      <top style="thin">
        <color theme="4"/>
      </top>
      <bottom/>
      <diagonal/>
    </border>
    <border>
      <left style="thin">
        <color rgb="FF000000"/>
      </left>
      <right style="thin">
        <color rgb="FF000000"/>
      </right>
      <top style="thin">
        <color rgb="FF000000"/>
      </top>
      <bottom style="thin">
        <color rgb="FF000000"/>
      </bottom>
      <diagonal/>
    </border>
  </borders>
  <cellStyleXfs count="247">
    <xf numFmtId="0" fontId="0" fillId="0" borderId="0"/>
    <xf numFmtId="0" fontId="5" fillId="0" borderId="0" applyFill="0" applyBorder="0" applyProtection="0">
      <alignment horizontal="left"/>
    </xf>
    <xf numFmtId="0" fontId="6" fillId="0" borderId="0" applyNumberFormat="0" applyFill="0" applyBorder="0" applyProtection="0">
      <alignment vertical="center"/>
    </xf>
    <xf numFmtId="9" fontId="7" fillId="0" borderId="0" applyFill="0" applyBorder="0" applyProtection="0">
      <alignment horizontal="center" vertical="center"/>
    </xf>
    <xf numFmtId="0" fontId="10" fillId="0" borderId="0" applyNumberFormat="0" applyFill="0" applyBorder="0" applyProtection="0">
      <alignment horizontal="left" vertical="center"/>
    </xf>
    <xf numFmtId="0" fontId="1" fillId="0" borderId="0"/>
    <xf numFmtId="0" fontId="14" fillId="8" borderId="6" applyNumberFormat="0" applyProtection="0">
      <alignment horizontal="left" vertical="center"/>
    </xf>
    <xf numFmtId="0" fontId="17" fillId="0" borderId="0" applyNumberFormat="0" applyFill="0" applyBorder="0" applyAlignment="0" applyProtection="0"/>
    <xf numFmtId="0" fontId="18" fillId="0" borderId="0" applyFill="0" applyBorder="0" applyProtection="0">
      <alignment horizontal="center"/>
    </xf>
    <xf numFmtId="3" fontId="18" fillId="0" borderId="7" applyFill="0" applyProtection="0">
      <alignment horizontal="center"/>
    </xf>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2"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5" fillId="0" borderId="0"/>
    <xf numFmtId="41"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164" fontId="1" fillId="0" borderId="0" applyFont="0" applyFill="0" applyBorder="0" applyAlignment="0" applyProtection="0"/>
    <xf numFmtId="0" fontId="45" fillId="0" borderId="0"/>
    <xf numFmtId="0" fontId="82" fillId="0" borderId="0" applyNumberFormat="0" applyFill="0" applyBorder="0" applyAlignment="0" applyProtection="0"/>
    <xf numFmtId="0" fontId="93" fillId="0" borderId="0"/>
    <xf numFmtId="0" fontId="93" fillId="0" borderId="0"/>
    <xf numFmtId="9" fontId="1" fillId="0" borderId="0" applyFont="0" applyFill="0" applyBorder="0" applyAlignment="0" applyProtection="0"/>
    <xf numFmtId="166" fontId="120" fillId="0" borderId="0" applyBorder="0" applyProtection="0"/>
    <xf numFmtId="166" fontId="45" fillId="0" borderId="0" applyBorder="0" applyProtection="0"/>
    <xf numFmtId="0" fontId="134" fillId="0" borderId="0" applyNumberFormat="0" applyFill="0" applyBorder="0" applyAlignment="0" applyProtection="0"/>
    <xf numFmtId="164" fontId="1" fillId="0" borderId="0" applyFont="0" applyFill="0" applyBorder="0" applyAlignment="0" applyProtection="0"/>
  </cellStyleXfs>
  <cellXfs count="807">
    <xf numFmtId="0" fontId="0" fillId="0" borderId="0" xfId="0"/>
    <xf numFmtId="0" fontId="6" fillId="0" borderId="0" xfId="2">
      <alignment vertical="center"/>
    </xf>
    <xf numFmtId="0" fontId="5" fillId="0" borderId="0" xfId="1" applyAlignment="1">
      <alignment horizontal="left" vertical="center"/>
    </xf>
    <xf numFmtId="0" fontId="5" fillId="0" borderId="0" xfId="1" applyAlignment="1">
      <alignment horizontal="center"/>
    </xf>
    <xf numFmtId="0" fontId="6" fillId="0" borderId="0" xfId="2" applyAlignment="1">
      <alignment horizontal="center"/>
    </xf>
    <xf numFmtId="0" fontId="6" fillId="0" borderId="0" xfId="2" applyAlignment="1">
      <alignment horizontal="center" wrapText="1"/>
    </xf>
    <xf numFmtId="0" fontId="11" fillId="0" borderId="0" xfId="4" applyFont="1">
      <alignment horizontal="left" vertical="center"/>
    </xf>
    <xf numFmtId="0" fontId="1" fillId="6" borderId="5" xfId="5" applyFill="1" applyBorder="1"/>
    <xf numFmtId="0" fontId="1" fillId="0" borderId="0" xfId="4" applyFont="1">
      <alignment horizontal="left" vertical="center"/>
    </xf>
    <xf numFmtId="0" fontId="1" fillId="7" borderId="5" xfId="5" applyFill="1" applyBorder="1"/>
    <xf numFmtId="0" fontId="15" fillId="9" borderId="1" xfId="6" applyFont="1" applyFill="1" applyBorder="1" applyAlignment="1">
      <alignment horizontal="center" vertical="center"/>
    </xf>
    <xf numFmtId="0" fontId="2" fillId="9" borderId="1" xfId="6" applyFont="1" applyFill="1" applyBorder="1">
      <alignment horizontal="left" vertical="center"/>
    </xf>
    <xf numFmtId="0" fontId="2" fillId="0" borderId="0" xfId="6" applyFont="1" applyFill="1" applyBorder="1">
      <alignment horizontal="left" vertical="center"/>
    </xf>
    <xf numFmtId="0" fontId="1" fillId="0" borderId="0" xfId="5"/>
    <xf numFmtId="0" fontId="16" fillId="0" borderId="0" xfId="4" applyFont="1">
      <alignment horizontal="left" vertical="center"/>
    </xf>
    <xf numFmtId="0" fontId="6" fillId="11" borderId="5" xfId="2" applyFill="1" applyBorder="1" applyAlignment="1">
      <alignment horizontal="center"/>
    </xf>
    <xf numFmtId="3" fontId="18" fillId="12" borderId="0" xfId="9" applyFill="1" applyBorder="1">
      <alignment horizontal="center"/>
    </xf>
    <xf numFmtId="0" fontId="23" fillId="0" borderId="0" xfId="2" applyFont="1">
      <alignment vertical="center"/>
    </xf>
    <xf numFmtId="0" fontId="0" fillId="0" borderId="0" xfId="0" applyAlignment="1">
      <alignment horizontal="center"/>
    </xf>
    <xf numFmtId="0" fontId="28" fillId="15" borderId="1" xfId="0" applyFont="1" applyFill="1" applyBorder="1" applyAlignment="1">
      <alignment horizontal="center"/>
    </xf>
    <xf numFmtId="0" fontId="0" fillId="3" borderId="0" xfId="0" applyFill="1" applyAlignment="1">
      <alignment horizontal="center" vertical="center"/>
    </xf>
    <xf numFmtId="0" fontId="0" fillId="0" borderId="0" xfId="0" applyAlignment="1">
      <alignment wrapText="1"/>
    </xf>
    <xf numFmtId="0" fontId="32" fillId="0" borderId="0" xfId="2" applyFont="1">
      <alignment vertical="center"/>
    </xf>
    <xf numFmtId="0" fontId="21" fillId="13" borderId="0" xfId="1" applyFont="1" applyFill="1" applyAlignment="1">
      <alignment horizontal="left" vertical="center"/>
    </xf>
    <xf numFmtId="0" fontId="33" fillId="0" borderId="0" xfId="0" applyFont="1"/>
    <xf numFmtId="0" fontId="37" fillId="0" borderId="0" xfId="0" applyFont="1" applyAlignment="1">
      <alignment horizontal="center"/>
    </xf>
    <xf numFmtId="20" fontId="0" fillId="0" borderId="0" xfId="0" applyNumberFormat="1" applyAlignment="1">
      <alignment horizontal="center"/>
    </xf>
    <xf numFmtId="0" fontId="38" fillId="0" borderId="0" xfId="0" applyFont="1" applyAlignment="1">
      <alignment horizontal="center"/>
    </xf>
    <xf numFmtId="20" fontId="0" fillId="0" borderId="0" xfId="0" applyNumberFormat="1"/>
    <xf numFmtId="1" fontId="41" fillId="0" borderId="0" xfId="2" applyNumberFormat="1" applyFont="1" applyAlignment="1">
      <alignment horizontal="center"/>
    </xf>
    <xf numFmtId="1" fontId="41" fillId="0" borderId="0" xfId="2" applyNumberFormat="1" applyFont="1" applyAlignment="1">
      <alignment horizontal="center" vertical="center"/>
    </xf>
    <xf numFmtId="0" fontId="22" fillId="13" borderId="0" xfId="1" applyFont="1" applyFill="1" applyAlignment="1">
      <alignment horizontal="center" vertical="center"/>
    </xf>
    <xf numFmtId="0" fontId="5" fillId="0" borderId="0" xfId="1" applyAlignment="1">
      <alignment horizontal="center" vertical="center"/>
    </xf>
    <xf numFmtId="0" fontId="52" fillId="0" borderId="0" xfId="0" applyFont="1" applyAlignment="1">
      <alignment vertical="center"/>
    </xf>
    <xf numFmtId="0" fontId="3" fillId="0" borderId="19" xfId="0" applyFont="1" applyBorder="1" applyAlignment="1">
      <alignment horizontal="center" vertical="center"/>
    </xf>
    <xf numFmtId="0" fontId="3" fillId="0" borderId="22" xfId="0" applyFont="1" applyBorder="1" applyAlignment="1">
      <alignment horizontal="center" vertical="center"/>
    </xf>
    <xf numFmtId="0" fontId="33" fillId="0" borderId="25" xfId="0" applyFont="1" applyBorder="1"/>
    <xf numFmtId="0" fontId="33" fillId="0" borderId="26" xfId="0" applyFont="1" applyBorder="1"/>
    <xf numFmtId="0" fontId="33" fillId="0" borderId="27" xfId="0" applyFont="1" applyBorder="1"/>
    <xf numFmtId="0" fontId="56" fillId="0" borderId="0" xfId="0" applyFont="1"/>
    <xf numFmtId="0" fontId="56" fillId="0" borderId="0" xfId="0" applyFont="1" applyAlignment="1">
      <alignment horizontal="center" vertical="center"/>
    </xf>
    <xf numFmtId="0" fontId="56" fillId="0" borderId="39" xfId="0" applyFont="1" applyBorder="1"/>
    <xf numFmtId="0" fontId="64" fillId="0" borderId="0" xfId="2" applyFont="1" applyAlignment="1">
      <alignment horizontal="center" vertical="center"/>
    </xf>
    <xf numFmtId="0" fontId="65" fillId="0" borderId="0" xfId="2" applyFont="1" applyAlignment="1">
      <alignment horizontal="center" vertical="center"/>
    </xf>
    <xf numFmtId="0" fontId="25" fillId="0" borderId="44" xfId="1" applyFont="1" applyFill="1" applyBorder="1" applyAlignment="1">
      <alignment horizontal="center"/>
    </xf>
    <xf numFmtId="1" fontId="49" fillId="3" borderId="44" xfId="0" applyNumberFormat="1" applyFont="1" applyFill="1" applyBorder="1" applyAlignment="1">
      <alignment horizontal="center" vertical="center"/>
    </xf>
    <xf numFmtId="1" fontId="55" fillId="3" borderId="44" xfId="0" applyNumberFormat="1" applyFont="1" applyFill="1" applyBorder="1" applyAlignment="1">
      <alignment horizontal="center" vertical="center"/>
    </xf>
    <xf numFmtId="0" fontId="24" fillId="21" borderId="45" xfId="1" applyFont="1" applyFill="1" applyBorder="1" applyAlignment="1"/>
    <xf numFmtId="0" fontId="66" fillId="21" borderId="44" xfId="1" applyFont="1" applyFill="1" applyBorder="1" applyAlignment="1">
      <alignment horizontal="center"/>
    </xf>
    <xf numFmtId="0" fontId="22" fillId="4" borderId="44" xfId="2" applyFont="1" applyFill="1" applyBorder="1" applyAlignment="1">
      <alignment horizontal="center" vertical="center"/>
    </xf>
    <xf numFmtId="0" fontId="4" fillId="4" borderId="44" xfId="0" applyFont="1" applyFill="1" applyBorder="1" applyAlignment="1">
      <alignment horizontal="center"/>
    </xf>
    <xf numFmtId="0" fontId="25" fillId="0" borderId="47" xfId="1" applyFont="1" applyBorder="1" applyAlignment="1">
      <alignment horizontal="center"/>
    </xf>
    <xf numFmtId="0" fontId="66" fillId="21" borderId="47" xfId="1" applyFont="1" applyFill="1" applyBorder="1" applyAlignment="1">
      <alignment horizontal="center"/>
    </xf>
    <xf numFmtId="0" fontId="22" fillId="4" borderId="47" xfId="2" applyFont="1" applyFill="1" applyBorder="1" applyAlignment="1">
      <alignment horizontal="center"/>
    </xf>
    <xf numFmtId="0" fontId="22" fillId="4" borderId="47" xfId="2" applyFont="1" applyFill="1" applyBorder="1" applyAlignment="1">
      <alignment horizontal="center" vertical="center"/>
    </xf>
    <xf numFmtId="0" fontId="21" fillId="12" borderId="0" xfId="1" applyFont="1" applyFill="1" applyBorder="1" applyAlignment="1">
      <alignment horizontal="center"/>
    </xf>
    <xf numFmtId="0" fontId="22" fillId="12" borderId="0" xfId="1" applyFont="1" applyFill="1" applyBorder="1" applyAlignment="1">
      <alignment horizontal="center"/>
    </xf>
    <xf numFmtId="0" fontId="22" fillId="12" borderId="0" xfId="2" applyFont="1" applyFill="1" applyBorder="1" applyAlignment="1">
      <alignment horizontal="center"/>
    </xf>
    <xf numFmtId="1" fontId="66" fillId="12" borderId="0" xfId="2" applyNumberFormat="1" applyFont="1" applyFill="1" applyBorder="1" applyAlignment="1">
      <alignment horizontal="center"/>
    </xf>
    <xf numFmtId="0" fontId="25" fillId="0" borderId="46" xfId="1" applyFont="1" applyBorder="1" applyAlignment="1">
      <alignment horizontal="center" vertical="center"/>
    </xf>
    <xf numFmtId="2" fontId="18" fillId="12" borderId="0" xfId="9" applyNumberFormat="1" applyFill="1" applyBorder="1">
      <alignment horizontal="center"/>
    </xf>
    <xf numFmtId="1" fontId="26" fillId="12" borderId="0" xfId="2" applyNumberFormat="1" applyFont="1" applyFill="1" applyBorder="1" applyAlignment="1">
      <alignment horizontal="center"/>
    </xf>
    <xf numFmtId="0" fontId="6" fillId="5" borderId="49" xfId="2" applyFill="1" applyBorder="1" applyAlignment="1">
      <alignment horizontal="center"/>
    </xf>
    <xf numFmtId="0" fontId="6" fillId="10" borderId="1" xfId="2" applyFill="1" applyBorder="1">
      <alignment vertical="center"/>
    </xf>
    <xf numFmtId="0" fontId="22" fillId="4" borderId="50" xfId="2" applyFont="1" applyFill="1" applyBorder="1" applyAlignment="1">
      <alignment horizontal="center" vertical="center"/>
    </xf>
    <xf numFmtId="2" fontId="66" fillId="15" borderId="43" xfId="2" applyNumberFormat="1" applyFont="1" applyFill="1" applyBorder="1" applyAlignment="1">
      <alignment horizontal="center" vertical="center"/>
    </xf>
    <xf numFmtId="1" fontId="66" fillId="15" borderId="43" xfId="2" applyNumberFormat="1" applyFont="1" applyFill="1" applyBorder="1" applyAlignment="1">
      <alignment horizontal="center"/>
    </xf>
    <xf numFmtId="1" fontId="66" fillId="28" borderId="43" xfId="2" applyNumberFormat="1" applyFont="1" applyFill="1" applyBorder="1" applyAlignment="1">
      <alignment horizontal="center"/>
    </xf>
    <xf numFmtId="1" fontId="66" fillId="15" borderId="43" xfId="2" applyNumberFormat="1" applyFont="1" applyFill="1" applyBorder="1" applyAlignment="1">
      <alignment horizontal="center" vertical="center"/>
    </xf>
    <xf numFmtId="2" fontId="66" fillId="15" borderId="43" xfId="2" applyNumberFormat="1" applyFont="1" applyFill="1" applyBorder="1" applyAlignment="1">
      <alignment horizontal="center"/>
    </xf>
    <xf numFmtId="0" fontId="22" fillId="13" borderId="43" xfId="1" applyFont="1" applyFill="1" applyBorder="1" applyAlignment="1">
      <alignment horizontal="center"/>
    </xf>
    <xf numFmtId="165" fontId="67" fillId="13" borderId="43" xfId="2" applyNumberFormat="1" applyFont="1" applyFill="1" applyBorder="1" applyAlignment="1">
      <alignment horizontal="center" vertical="center"/>
    </xf>
    <xf numFmtId="1" fontId="41" fillId="0" borderId="0" xfId="2" applyNumberFormat="1" applyFont="1">
      <alignment vertical="center"/>
    </xf>
    <xf numFmtId="0" fontId="3" fillId="0" borderId="0" xfId="0" applyFont="1" applyAlignment="1">
      <alignment horizontal="center" vertical="center"/>
    </xf>
    <xf numFmtId="0" fontId="3" fillId="14" borderId="32" xfId="0" applyFont="1" applyFill="1" applyBorder="1" applyAlignment="1">
      <alignment horizontal="center" vertical="center"/>
    </xf>
    <xf numFmtId="1" fontId="66" fillId="15" borderId="43" xfId="2" applyNumberFormat="1" applyFont="1" applyFill="1" applyBorder="1">
      <alignment vertical="center"/>
    </xf>
    <xf numFmtId="0" fontId="3" fillId="14" borderId="27" xfId="0" applyFont="1" applyFill="1" applyBorder="1" applyAlignment="1">
      <alignment horizontal="center" vertical="center"/>
    </xf>
    <xf numFmtId="1" fontId="0" fillId="0" borderId="0" xfId="0" applyNumberFormat="1" applyAlignment="1">
      <alignment horizontal="center"/>
    </xf>
    <xf numFmtId="1" fontId="0" fillId="0" borderId="25" xfId="0" applyNumberFormat="1" applyBorder="1" applyAlignment="1">
      <alignment horizontal="center"/>
    </xf>
    <xf numFmtId="1" fontId="0" fillId="0" borderId="56" xfId="0" applyNumberFormat="1" applyBorder="1" applyAlignment="1">
      <alignment horizontal="center"/>
    </xf>
    <xf numFmtId="0" fontId="39" fillId="0" borderId="0" xfId="0" applyFont="1" applyAlignment="1">
      <alignment horizontal="center"/>
    </xf>
    <xf numFmtId="165" fontId="77" fillId="13" borderId="43" xfId="2" applyNumberFormat="1" applyFont="1" applyFill="1" applyBorder="1" applyAlignment="1">
      <alignment horizontal="center" vertical="center"/>
    </xf>
    <xf numFmtId="1" fontId="77" fillId="13" borderId="43" xfId="2" applyNumberFormat="1" applyFont="1" applyFill="1" applyBorder="1" applyAlignment="1">
      <alignment horizontal="center" vertical="center"/>
    </xf>
    <xf numFmtId="1" fontId="54" fillId="27" borderId="43" xfId="2" applyNumberFormat="1" applyFont="1" applyFill="1" applyBorder="1" applyAlignment="1">
      <alignment horizontal="center" vertical="center"/>
    </xf>
    <xf numFmtId="0" fontId="0" fillId="0" borderId="0" xfId="0" applyAlignment="1">
      <alignment horizontal="center" vertical="center"/>
    </xf>
    <xf numFmtId="0" fontId="0" fillId="0" borderId="18" xfId="0" applyBorder="1" applyAlignment="1">
      <alignment horizontal="center" vertical="center"/>
    </xf>
    <xf numFmtId="0" fontId="0" fillId="0" borderId="28" xfId="0" applyBorder="1" applyAlignment="1">
      <alignment horizontal="center" vertical="center"/>
    </xf>
    <xf numFmtId="1" fontId="0" fillId="0" borderId="1" xfId="0" applyNumberFormat="1" applyBorder="1" applyAlignment="1">
      <alignment horizontal="center" vertical="center"/>
    </xf>
    <xf numFmtId="0" fontId="0" fillId="0" borderId="16"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78" fillId="0" borderId="0" xfId="0" applyFont="1" applyAlignment="1">
      <alignment horizontal="center"/>
    </xf>
    <xf numFmtId="0" fontId="0" fillId="0" borderId="1" xfId="0" applyBorder="1"/>
    <xf numFmtId="0" fontId="15" fillId="0" borderId="0" xfId="0" applyFont="1"/>
    <xf numFmtId="0" fontId="3" fillId="0" borderId="0" xfId="0" applyFont="1"/>
    <xf numFmtId="0" fontId="81" fillId="0" borderId="0" xfId="0" applyFont="1" applyAlignment="1">
      <alignment horizontal="center" vertical="center"/>
    </xf>
    <xf numFmtId="0" fontId="81" fillId="0" borderId="0" xfId="0" applyFont="1"/>
    <xf numFmtId="0" fontId="71" fillId="30" borderId="58" xfId="0" applyFont="1" applyFill="1" applyBorder="1" applyAlignment="1">
      <alignment horizontal="center" vertical="center"/>
    </xf>
    <xf numFmtId="0" fontId="21" fillId="0" borderId="0" xfId="1" applyFont="1" applyFill="1" applyBorder="1" applyAlignment="1">
      <alignment horizontal="center" vertical="center"/>
    </xf>
    <xf numFmtId="0" fontId="24" fillId="0" borderId="0" xfId="1" applyFont="1" applyFill="1" applyBorder="1" applyAlignment="1">
      <alignment horizontal="center" vertical="center"/>
    </xf>
    <xf numFmtId="0" fontId="83" fillId="16" borderId="4" xfId="238" applyFont="1" applyFill="1" applyBorder="1" applyAlignment="1">
      <alignment horizontal="center" vertical="center" wrapText="1"/>
    </xf>
    <xf numFmtId="0" fontId="83" fillId="16" borderId="4" xfId="238" applyFont="1" applyFill="1" applyBorder="1" applyAlignment="1">
      <alignment horizontal="center" vertical="center"/>
    </xf>
    <xf numFmtId="0" fontId="83" fillId="16" borderId="1" xfId="238" applyFont="1" applyFill="1" applyBorder="1" applyAlignment="1">
      <alignment horizontal="center" vertical="center"/>
    </xf>
    <xf numFmtId="0" fontId="83" fillId="16" borderId="1" xfId="238" applyFont="1" applyFill="1" applyBorder="1" applyAlignment="1">
      <alignment horizontal="center" vertical="center" wrapText="1"/>
    </xf>
    <xf numFmtId="0" fontId="83" fillId="35" borderId="4" xfId="238" applyFont="1" applyFill="1" applyBorder="1" applyAlignment="1">
      <alignment horizontal="center" vertical="center" wrapText="1"/>
    </xf>
    <xf numFmtId="0" fontId="85" fillId="37" borderId="1" xfId="0" applyFont="1" applyFill="1" applyBorder="1" applyAlignment="1">
      <alignment horizontal="left" vertical="center" wrapText="1"/>
    </xf>
    <xf numFmtId="0" fontId="85" fillId="38" borderId="1" xfId="0" applyFont="1" applyFill="1" applyBorder="1" applyAlignment="1">
      <alignment horizontal="left" vertical="center" wrapText="1"/>
    </xf>
    <xf numFmtId="0" fontId="85" fillId="39" borderId="1" xfId="0" applyFont="1" applyFill="1" applyBorder="1" applyAlignment="1">
      <alignment horizontal="left" vertical="center" wrapText="1"/>
    </xf>
    <xf numFmtId="0" fontId="82" fillId="0" borderId="1" xfId="239" applyBorder="1"/>
    <xf numFmtId="0" fontId="85" fillId="37" borderId="4" xfId="0" applyFont="1" applyFill="1" applyBorder="1" applyAlignment="1">
      <alignment horizontal="left" vertical="center" wrapText="1"/>
    </xf>
    <xf numFmtId="0" fontId="0" fillId="3" borderId="1" xfId="0" applyFill="1" applyBorder="1"/>
    <xf numFmtId="0" fontId="96" fillId="40" borderId="1" xfId="68" applyFont="1" applyFill="1" applyBorder="1" applyAlignment="1">
      <alignment horizontal="left" vertical="center"/>
    </xf>
    <xf numFmtId="0" fontId="85" fillId="40" borderId="1" xfId="0" applyFont="1" applyFill="1" applyBorder="1" applyAlignment="1">
      <alignment horizontal="left" vertical="center"/>
    </xf>
    <xf numFmtId="0" fontId="96" fillId="40" borderId="4" xfId="68" applyFont="1" applyFill="1" applyBorder="1" applyAlignment="1">
      <alignment horizontal="left" vertical="center"/>
    </xf>
    <xf numFmtId="0" fontId="96" fillId="40" borderId="1" xfId="68" applyFont="1" applyFill="1" applyBorder="1" applyAlignment="1">
      <alignment horizontal="left" vertical="center" wrapText="1"/>
    </xf>
    <xf numFmtId="0" fontId="85" fillId="3" borderId="1" xfId="0" applyFont="1" applyFill="1" applyBorder="1" applyAlignment="1">
      <alignment horizontal="left" vertical="center"/>
    </xf>
    <xf numFmtId="0" fontId="85" fillId="3" borderId="1" xfId="0" applyFont="1" applyFill="1" applyBorder="1" applyAlignment="1">
      <alignment horizontal="left" vertical="center" wrapText="1"/>
    </xf>
    <xf numFmtId="0" fontId="99" fillId="40" borderId="1" xfId="68" applyFont="1" applyFill="1" applyBorder="1" applyAlignment="1">
      <alignment horizontal="left" vertical="center"/>
    </xf>
    <xf numFmtId="0" fontId="84" fillId="18" borderId="1" xfId="238" applyFont="1" applyFill="1" applyBorder="1" applyAlignment="1">
      <alignment horizontal="left" vertical="center"/>
    </xf>
    <xf numFmtId="0" fontId="110" fillId="0" borderId="0" xfId="0" applyFont="1" applyAlignment="1">
      <alignment horizontal="center" vertical="center"/>
    </xf>
    <xf numFmtId="0" fontId="110" fillId="0" borderId="0" xfId="0" applyFont="1" applyAlignment="1">
      <alignment horizontal="left" vertical="center"/>
    </xf>
    <xf numFmtId="0" fontId="110" fillId="0" borderId="1" xfId="0" applyFont="1" applyBorder="1" applyAlignment="1">
      <alignment horizontal="center" vertical="center"/>
    </xf>
    <xf numFmtId="0" fontId="111" fillId="3" borderId="1" xfId="0" applyFont="1" applyFill="1" applyBorder="1" applyAlignment="1">
      <alignment horizontal="left" vertical="center" wrapText="1"/>
    </xf>
    <xf numFmtId="0" fontId="111" fillId="36" borderId="1" xfId="0" applyFont="1" applyFill="1" applyBorder="1" applyAlignment="1">
      <alignment horizontal="center" vertical="center" wrapText="1"/>
    </xf>
    <xf numFmtId="0" fontId="111" fillId="3" borderId="1" xfId="0" applyFont="1" applyFill="1" applyBorder="1" applyAlignment="1">
      <alignment horizontal="center" vertical="center" wrapText="1"/>
    </xf>
    <xf numFmtId="0" fontId="53" fillId="14" borderId="1" xfId="0" applyFont="1" applyFill="1" applyBorder="1" applyAlignment="1">
      <alignment horizontal="center" vertical="center"/>
    </xf>
    <xf numFmtId="0" fontId="112" fillId="14" borderId="1" xfId="0" applyFont="1" applyFill="1" applyBorder="1" applyAlignment="1">
      <alignment horizontal="center" vertical="center" wrapText="1"/>
    </xf>
    <xf numFmtId="0" fontId="112" fillId="14" borderId="2" xfId="0" applyFont="1" applyFill="1" applyBorder="1" applyAlignment="1">
      <alignment horizontal="center" vertical="center" wrapText="1"/>
    </xf>
    <xf numFmtId="0" fontId="112" fillId="14" borderId="0" xfId="0" applyFont="1" applyFill="1" applyAlignment="1">
      <alignment horizontal="center" vertical="center" wrapText="1"/>
    </xf>
    <xf numFmtId="0" fontId="82" fillId="3" borderId="3" xfId="239" applyFill="1" applyBorder="1" applyAlignment="1">
      <alignment horizontal="center" vertical="center" wrapText="1"/>
    </xf>
    <xf numFmtId="0" fontId="111" fillId="14" borderId="1" xfId="0" applyFont="1" applyFill="1" applyBorder="1" applyAlignment="1">
      <alignment horizontal="left" vertical="center" wrapText="1"/>
    </xf>
    <xf numFmtId="0" fontId="111" fillId="20" borderId="1" xfId="0" applyFont="1" applyFill="1" applyBorder="1" applyAlignment="1">
      <alignment horizontal="left" vertical="center" wrapText="1"/>
    </xf>
    <xf numFmtId="0" fontId="82" fillId="0" borderId="1" xfId="239" applyBorder="1" applyAlignment="1">
      <alignment horizontal="center" vertical="center"/>
    </xf>
    <xf numFmtId="0" fontId="82" fillId="3" borderId="1" xfId="239" applyNumberFormat="1" applyFill="1" applyBorder="1" applyAlignment="1">
      <alignment horizontal="center" vertical="center"/>
    </xf>
    <xf numFmtId="0" fontId="29" fillId="3" borderId="1" xfId="238" applyFont="1" applyFill="1" applyBorder="1" applyAlignment="1">
      <alignment horizontal="center" vertical="center"/>
    </xf>
    <xf numFmtId="0" fontId="113" fillId="14" borderId="0" xfId="0" applyFont="1" applyFill="1" applyAlignment="1">
      <alignment horizontal="center" vertical="center"/>
    </xf>
    <xf numFmtId="0" fontId="113" fillId="0" borderId="0" xfId="0" applyFont="1" applyAlignment="1">
      <alignment horizontal="left" vertical="center"/>
    </xf>
    <xf numFmtId="0" fontId="110" fillId="3" borderId="0" xfId="0" applyFont="1" applyFill="1" applyAlignment="1">
      <alignment horizontal="center"/>
    </xf>
    <xf numFmtId="0" fontId="110" fillId="3" borderId="0" xfId="0" applyFont="1" applyFill="1"/>
    <xf numFmtId="0" fontId="110" fillId="3" borderId="0" xfId="0" applyFont="1" applyFill="1" applyAlignment="1">
      <alignment horizontal="center" vertical="center"/>
    </xf>
    <xf numFmtId="0" fontId="3" fillId="14" borderId="1" xfId="0" applyFont="1" applyFill="1" applyBorder="1" applyAlignment="1">
      <alignment horizontal="center"/>
    </xf>
    <xf numFmtId="0" fontId="6" fillId="12" borderId="0" xfId="2" applyFill="1">
      <alignment vertical="center"/>
    </xf>
    <xf numFmtId="0" fontId="30" fillId="12" borderId="0" xfId="8" applyFont="1" applyFill="1" applyBorder="1" applyAlignment="1">
      <alignment horizontal="center" vertical="center"/>
    </xf>
    <xf numFmtId="3" fontId="19" fillId="12" borderId="0" xfId="9" applyFont="1" applyFill="1" applyBorder="1">
      <alignment horizontal="center"/>
    </xf>
    <xf numFmtId="0" fontId="28" fillId="12" borderId="0" xfId="0" applyFont="1" applyFill="1" applyAlignment="1">
      <alignment horizontal="center"/>
    </xf>
    <xf numFmtId="2" fontId="25" fillId="0" borderId="47" xfId="1" applyNumberFormat="1" applyFont="1" applyBorder="1" applyAlignment="1">
      <alignment horizontal="center"/>
    </xf>
    <xf numFmtId="2" fontId="25" fillId="0" borderId="44" xfId="1" applyNumberFormat="1" applyFont="1" applyBorder="1" applyAlignment="1">
      <alignment horizontal="center"/>
    </xf>
    <xf numFmtId="0" fontId="34" fillId="17" borderId="1"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4" fillId="13" borderId="1" xfId="0" applyFont="1" applyFill="1" applyBorder="1" applyAlignment="1">
      <alignment horizontal="center" vertical="center" wrapText="1"/>
    </xf>
    <xf numFmtId="0" fontId="34" fillId="12" borderId="1" xfId="0" applyFont="1" applyFill="1" applyBorder="1" applyAlignment="1">
      <alignment horizontal="center" vertical="center" wrapText="1"/>
    </xf>
    <xf numFmtId="0" fontId="34" fillId="18" borderId="1" xfId="0" applyFont="1" applyFill="1" applyBorder="1" applyAlignment="1">
      <alignment horizontal="center" vertical="center" wrapText="1"/>
    </xf>
    <xf numFmtId="0" fontId="36" fillId="14" borderId="1" xfId="0" applyFont="1" applyFill="1" applyBorder="1" applyAlignment="1">
      <alignment horizontal="center" vertical="center" wrapText="1"/>
    </xf>
    <xf numFmtId="0" fontId="34" fillId="19" borderId="1" xfId="0" applyFont="1" applyFill="1" applyBorder="1" applyAlignment="1">
      <alignment horizontal="center" vertical="center" wrapText="1"/>
    </xf>
    <xf numFmtId="0" fontId="0" fillId="0" borderId="1" xfId="0" applyBorder="1" applyAlignment="1">
      <alignment horizontal="center" vertical="center"/>
    </xf>
    <xf numFmtId="0" fontId="45" fillId="0" borderId="0" xfId="0" applyFont="1" applyAlignment="1">
      <alignment horizontal="center" vertical="center"/>
    </xf>
    <xf numFmtId="0" fontId="45" fillId="0" borderId="0" xfId="0" applyFont="1" applyAlignment="1">
      <alignment vertical="center"/>
    </xf>
    <xf numFmtId="0" fontId="0" fillId="0" borderId="0" xfId="0" applyAlignment="1">
      <alignment vertical="center"/>
    </xf>
    <xf numFmtId="0" fontId="71" fillId="30" borderId="53" xfId="0" applyFont="1" applyFill="1" applyBorder="1" applyAlignment="1">
      <alignment horizontal="center" vertical="center" wrapText="1"/>
    </xf>
    <xf numFmtId="0" fontId="71" fillId="30" borderId="26" xfId="0" applyFont="1" applyFill="1" applyBorder="1" applyAlignment="1">
      <alignment horizontal="center" vertical="center" wrapText="1"/>
    </xf>
    <xf numFmtId="0" fontId="73" fillId="0" borderId="67" xfId="0" applyFont="1" applyBorder="1" applyAlignment="1">
      <alignment horizontal="center" vertical="center"/>
    </xf>
    <xf numFmtId="0" fontId="76" fillId="0" borderId="67" xfId="0" applyFont="1" applyBorder="1" applyAlignment="1">
      <alignment vertical="center" wrapText="1"/>
    </xf>
    <xf numFmtId="0" fontId="74" fillId="0" borderId="36" xfId="0" applyFont="1" applyBorder="1" applyAlignment="1">
      <alignment vertical="center" wrapText="1"/>
    </xf>
    <xf numFmtId="0" fontId="74" fillId="0" borderId="68" xfId="0" applyFont="1" applyBorder="1" applyAlignment="1">
      <alignment vertical="center" wrapText="1"/>
    </xf>
    <xf numFmtId="0" fontId="73" fillId="14" borderId="40" xfId="0" applyFont="1" applyFill="1" applyBorder="1" applyAlignment="1">
      <alignment horizontal="center" vertical="center"/>
    </xf>
    <xf numFmtId="0" fontId="73" fillId="14" borderId="1" xfId="0" applyFont="1" applyFill="1" applyBorder="1" applyAlignment="1">
      <alignment horizontal="center" vertical="center"/>
    </xf>
    <xf numFmtId="0" fontId="73" fillId="14" borderId="29" xfId="0" applyFont="1" applyFill="1" applyBorder="1" applyAlignment="1">
      <alignment horizontal="center" vertical="center"/>
    </xf>
    <xf numFmtId="0" fontId="73" fillId="14" borderId="16" xfId="0" applyFont="1" applyFill="1" applyBorder="1" applyAlignment="1">
      <alignment horizontal="center" vertical="center"/>
    </xf>
    <xf numFmtId="0" fontId="73" fillId="0" borderId="69" xfId="0" applyFont="1" applyBorder="1" applyAlignment="1">
      <alignment horizontal="center" vertical="center"/>
    </xf>
    <xf numFmtId="0" fontId="76" fillId="0" borderId="69" xfId="0" applyFont="1" applyBorder="1" applyAlignment="1">
      <alignment vertical="center" wrapText="1"/>
    </xf>
    <xf numFmtId="0" fontId="74" fillId="0" borderId="4" xfId="0" applyFont="1" applyBorder="1" applyAlignment="1">
      <alignment vertical="center" wrapText="1"/>
    </xf>
    <xf numFmtId="0" fontId="74" fillId="0" borderId="70" xfId="0" applyFont="1" applyBorder="1" applyAlignment="1">
      <alignment vertical="center" wrapText="1"/>
    </xf>
    <xf numFmtId="0" fontId="73" fillId="14" borderId="1" xfId="0" applyFont="1" applyFill="1" applyBorder="1" applyAlignment="1">
      <alignment horizontal="center" vertical="center" wrapText="1"/>
    </xf>
    <xf numFmtId="0" fontId="73" fillId="14" borderId="29" xfId="0" applyFont="1" applyFill="1" applyBorder="1" applyAlignment="1">
      <alignment horizontal="center" vertical="center" wrapText="1"/>
    </xf>
    <xf numFmtId="0" fontId="73" fillId="14" borderId="16" xfId="0" applyFont="1" applyFill="1" applyBorder="1" applyAlignment="1">
      <alignment horizontal="center" vertical="center" wrapText="1"/>
    </xf>
    <xf numFmtId="0" fontId="76" fillId="34" borderId="69" xfId="0" applyFont="1" applyFill="1" applyBorder="1" applyAlignment="1">
      <alignment vertical="center" wrapText="1"/>
    </xf>
    <xf numFmtId="0" fontId="74" fillId="34" borderId="4" xfId="0" applyFont="1" applyFill="1" applyBorder="1" applyAlignment="1">
      <alignment vertical="center" wrapText="1"/>
    </xf>
    <xf numFmtId="0" fontId="74" fillId="34" borderId="70" xfId="0" applyFont="1" applyFill="1" applyBorder="1" applyAlignment="1">
      <alignment vertical="center" wrapText="1"/>
    </xf>
    <xf numFmtId="0" fontId="76" fillId="34" borderId="64" xfId="0" applyFont="1" applyFill="1" applyBorder="1" applyAlignment="1">
      <alignment vertical="center" wrapText="1"/>
    </xf>
    <xf numFmtId="0" fontId="74" fillId="34" borderId="65" xfId="0" applyFont="1" applyFill="1" applyBorder="1" applyAlignment="1">
      <alignment vertical="center" wrapText="1"/>
    </xf>
    <xf numFmtId="0" fontId="73" fillId="14" borderId="40" xfId="0" applyFont="1" applyFill="1" applyBorder="1" applyAlignment="1">
      <alignment horizontal="center" vertical="center" wrapText="1"/>
    </xf>
    <xf numFmtId="0" fontId="76" fillId="0" borderId="64" xfId="0" applyFont="1" applyBorder="1" applyAlignment="1">
      <alignment vertical="center" wrapText="1"/>
    </xf>
    <xf numFmtId="0" fontId="74" fillId="0" borderId="65" xfId="0" applyFont="1" applyBorder="1" applyAlignment="1">
      <alignment vertical="center" wrapText="1"/>
    </xf>
    <xf numFmtId="0" fontId="74" fillId="34" borderId="34" xfId="0" applyFont="1" applyFill="1" applyBorder="1" applyAlignment="1">
      <alignment vertical="center" wrapText="1"/>
    </xf>
    <xf numFmtId="0" fontId="74" fillId="34" borderId="71" xfId="0" applyFont="1" applyFill="1" applyBorder="1" applyAlignment="1">
      <alignment vertical="center" wrapText="1"/>
    </xf>
    <xf numFmtId="0" fontId="74" fillId="34" borderId="72" xfId="0" applyFont="1" applyFill="1" applyBorder="1" applyAlignment="1">
      <alignment vertical="center" wrapText="1"/>
    </xf>
    <xf numFmtId="0" fontId="76" fillId="0" borderId="33" xfId="0" applyFont="1" applyBorder="1" applyAlignment="1">
      <alignment vertical="center" wrapText="1"/>
    </xf>
    <xf numFmtId="0" fontId="76" fillId="0" borderId="73" xfId="0" applyFont="1" applyBorder="1" applyAlignment="1">
      <alignment vertical="center" wrapText="1"/>
    </xf>
    <xf numFmtId="0" fontId="45" fillId="0" borderId="69" xfId="0" applyFont="1" applyBorder="1" applyAlignment="1">
      <alignment horizontal="center" vertical="center"/>
    </xf>
    <xf numFmtId="0" fontId="75" fillId="41" borderId="35" xfId="0" applyFont="1" applyFill="1" applyBorder="1" applyAlignment="1">
      <alignment horizontal="center" vertical="center"/>
    </xf>
    <xf numFmtId="0" fontId="75" fillId="41" borderId="36" xfId="0" applyFont="1" applyFill="1" applyBorder="1" applyAlignment="1">
      <alignment horizontal="center" vertical="center"/>
    </xf>
    <xf numFmtId="0" fontId="75" fillId="41" borderId="41" xfId="0" applyFont="1" applyFill="1" applyBorder="1" applyAlignment="1">
      <alignment horizontal="center" vertical="center"/>
    </xf>
    <xf numFmtId="0" fontId="45" fillId="0" borderId="60" xfId="0" applyFont="1" applyBorder="1" applyAlignment="1">
      <alignment horizontal="center" vertical="center"/>
    </xf>
    <xf numFmtId="0" fontId="75" fillId="42" borderId="16" xfId="0" applyFont="1" applyFill="1" applyBorder="1" applyAlignment="1">
      <alignment horizontal="center" vertical="center" wrapText="1"/>
    </xf>
    <xf numFmtId="0" fontId="75" fillId="42" borderId="1" xfId="0" applyFont="1" applyFill="1" applyBorder="1" applyAlignment="1">
      <alignment horizontal="center" vertical="center" wrapText="1"/>
    </xf>
    <xf numFmtId="0" fontId="75" fillId="42" borderId="29" xfId="0" applyFont="1" applyFill="1" applyBorder="1" applyAlignment="1">
      <alignment horizontal="center" vertical="center" wrapText="1"/>
    </xf>
    <xf numFmtId="0" fontId="75" fillId="43" borderId="23" xfId="0" applyFont="1" applyFill="1" applyBorder="1" applyAlignment="1">
      <alignment horizontal="center" vertical="center" wrapText="1"/>
    </xf>
    <xf numFmtId="0" fontId="75" fillId="43" borderId="17" xfId="0" applyFont="1" applyFill="1" applyBorder="1" applyAlignment="1">
      <alignment horizontal="center" vertical="center" wrapText="1"/>
    </xf>
    <xf numFmtId="0" fontId="75" fillId="43" borderId="24" xfId="0" applyFont="1" applyFill="1" applyBorder="1" applyAlignment="1">
      <alignment horizontal="center" vertical="center" wrapText="1"/>
    </xf>
    <xf numFmtId="0" fontId="73" fillId="14" borderId="76" xfId="0" applyFont="1" applyFill="1" applyBorder="1" applyAlignment="1">
      <alignment horizontal="center" vertical="center"/>
    </xf>
    <xf numFmtId="0" fontId="73" fillId="14" borderId="76" xfId="0" applyFont="1" applyFill="1" applyBorder="1" applyAlignment="1">
      <alignment horizontal="center" vertical="center" wrapText="1"/>
    </xf>
    <xf numFmtId="1" fontId="54" fillId="16" borderId="43" xfId="2" applyNumberFormat="1" applyFont="1" applyFill="1" applyBorder="1" applyAlignment="1">
      <alignment horizontal="center" vertical="center"/>
    </xf>
    <xf numFmtId="0" fontId="24" fillId="21" borderId="45" xfId="1" applyFont="1" applyFill="1" applyBorder="1" applyAlignment="1" applyProtection="1"/>
    <xf numFmtId="0" fontId="2" fillId="3" borderId="60" xfId="0" applyFont="1" applyFill="1" applyBorder="1" applyAlignment="1">
      <alignment vertical="center" wrapText="1"/>
    </xf>
    <xf numFmtId="0" fontId="20" fillId="16" borderId="55" xfId="0" applyFont="1" applyFill="1" applyBorder="1" applyAlignment="1">
      <alignment horizontal="center" vertical="center" wrapText="1"/>
    </xf>
    <xf numFmtId="0" fontId="20" fillId="16" borderId="59" xfId="0" applyFont="1" applyFill="1" applyBorder="1" applyAlignment="1">
      <alignment horizontal="center" vertical="center" wrapText="1"/>
    </xf>
    <xf numFmtId="0" fontId="20" fillId="16" borderId="59" xfId="0" applyFont="1" applyFill="1" applyBorder="1" applyAlignment="1">
      <alignment horizontal="center" vertical="center"/>
    </xf>
    <xf numFmtId="0" fontId="20" fillId="16" borderId="63" xfId="0" applyFont="1" applyFill="1" applyBorder="1" applyAlignment="1">
      <alignment horizontal="center" vertical="center" wrapText="1"/>
    </xf>
    <xf numFmtId="0" fontId="34" fillId="6" borderId="59" xfId="0" applyFont="1" applyFill="1" applyBorder="1" applyAlignment="1">
      <alignment horizontal="center" vertical="center" wrapText="1"/>
    </xf>
    <xf numFmtId="0" fontId="34" fillId="6" borderId="77" xfId="0" applyFont="1" applyFill="1" applyBorder="1" applyAlignment="1">
      <alignment horizontal="center" vertical="center" wrapText="1"/>
    </xf>
    <xf numFmtId="0" fontId="2" fillId="16" borderId="34" xfId="0" applyFont="1" applyFill="1" applyBorder="1" applyAlignment="1">
      <alignment horizontal="center" vertical="center"/>
    </xf>
    <xf numFmtId="0" fontId="80" fillId="0" borderId="0" xfId="1" applyFont="1" applyFill="1" applyBorder="1" applyAlignment="1">
      <alignment horizontal="center" vertical="center" wrapText="1"/>
    </xf>
    <xf numFmtId="49" fontId="79" fillId="0" borderId="0" xfId="1" applyNumberFormat="1" applyFont="1" applyFill="1" applyBorder="1" applyAlignment="1">
      <alignment horizontal="center" vertical="center" wrapText="1"/>
    </xf>
    <xf numFmtId="49" fontId="80" fillId="0" borderId="0" xfId="1" applyNumberFormat="1" applyFont="1" applyFill="1" applyBorder="1" applyAlignment="1">
      <alignment horizontal="center" vertical="center" wrapText="1"/>
    </xf>
    <xf numFmtId="1" fontId="80" fillId="0" borderId="0" xfId="1" applyNumberFormat="1" applyFont="1" applyFill="1" applyBorder="1" applyAlignment="1">
      <alignment horizontal="center" vertical="center" wrapText="1"/>
    </xf>
    <xf numFmtId="1" fontId="79" fillId="0" borderId="0" xfId="1" applyNumberFormat="1" applyFont="1" applyFill="1" applyBorder="1" applyAlignment="1">
      <alignment horizontal="center" vertical="center" wrapText="1"/>
    </xf>
    <xf numFmtId="0" fontId="29" fillId="0" borderId="0" xfId="0" applyFont="1" applyAlignment="1">
      <alignment vertical="center" wrapText="1"/>
    </xf>
    <xf numFmtId="0" fontId="29" fillId="0" borderId="0" xfId="0" applyFont="1" applyAlignment="1">
      <alignment horizontal="center" vertical="center" wrapText="1"/>
    </xf>
    <xf numFmtId="0" fontId="58" fillId="0" borderId="0" xfId="0" applyFont="1" applyAlignment="1">
      <alignment horizontal="center" vertical="center"/>
    </xf>
    <xf numFmtId="14" fontId="59" fillId="0" borderId="0" xfId="0" applyNumberFormat="1" applyFont="1" applyAlignment="1">
      <alignment horizontal="center" vertical="center"/>
    </xf>
    <xf numFmtId="0" fontId="57" fillId="25" borderId="81" xfId="0" applyFont="1" applyFill="1" applyBorder="1" applyAlignment="1">
      <alignment horizontal="center" vertical="center" wrapText="1"/>
    </xf>
    <xf numFmtId="0" fontId="57" fillId="25" borderId="0" xfId="0" applyFont="1" applyFill="1" applyAlignment="1">
      <alignment horizontal="center" vertical="center" wrapText="1"/>
    </xf>
    <xf numFmtId="0" fontId="57" fillId="25" borderId="81" xfId="0" applyFont="1" applyFill="1" applyBorder="1" applyAlignment="1">
      <alignment horizontal="center" vertical="center"/>
    </xf>
    <xf numFmtId="0" fontId="57" fillId="26" borderId="81" xfId="0" applyFont="1" applyFill="1" applyBorder="1" applyAlignment="1">
      <alignment horizontal="center" vertical="center" wrapText="1"/>
    </xf>
    <xf numFmtId="0" fontId="57" fillId="26" borderId="0" xfId="0" applyFont="1" applyFill="1" applyAlignment="1">
      <alignment horizontal="center" vertical="center" wrapText="1"/>
    </xf>
    <xf numFmtId="0" fontId="59" fillId="0" borderId="0" xfId="0" applyFont="1" applyAlignment="1">
      <alignment horizontal="center" vertical="center"/>
    </xf>
    <xf numFmtId="0" fontId="60" fillId="0" borderId="0" xfId="0" applyFont="1" applyAlignment="1">
      <alignment horizontal="left" vertical="center" wrapText="1"/>
    </xf>
    <xf numFmtId="167" fontId="8" fillId="0" borderId="0" xfId="3" applyNumberFormat="1" applyFont="1">
      <alignment horizontal="center" vertical="center"/>
    </xf>
    <xf numFmtId="167" fontId="9" fillId="0" borderId="0" xfId="2" applyNumberFormat="1" applyFont="1" applyAlignment="1"/>
    <xf numFmtId="167" fontId="31" fillId="13" borderId="9" xfId="8" applyNumberFormat="1" applyFont="1" applyFill="1" applyBorder="1" applyAlignment="1">
      <alignment horizontal="center" vertical="center"/>
    </xf>
    <xf numFmtId="167" fontId="31" fillId="13" borderId="10" xfId="8" applyNumberFormat="1" applyFont="1" applyFill="1" applyBorder="1" applyAlignment="1">
      <alignment horizontal="center" vertical="center"/>
    </xf>
    <xf numFmtId="167" fontId="22" fillId="7" borderId="0" xfId="3" applyNumberFormat="1" applyFont="1" applyFill="1">
      <alignment horizontal="center" vertical="center"/>
    </xf>
    <xf numFmtId="167" fontId="26" fillId="0" borderId="8" xfId="3" applyNumberFormat="1" applyFont="1" applyBorder="1">
      <alignment horizontal="center" vertical="center"/>
    </xf>
    <xf numFmtId="167" fontId="77" fillId="13" borderId="43" xfId="2" applyNumberFormat="1" applyFont="1" applyFill="1" applyBorder="1" applyAlignment="1">
      <alignment horizontal="center" vertical="center"/>
    </xf>
    <xf numFmtId="167" fontId="27" fillId="0" borderId="0" xfId="2" applyNumberFormat="1" applyFont="1" applyAlignment="1">
      <alignment horizontal="center" vertical="center"/>
    </xf>
    <xf numFmtId="3" fontId="53" fillId="0" borderId="0" xfId="9" applyFont="1" applyBorder="1">
      <alignment horizontal="center"/>
    </xf>
    <xf numFmtId="3" fontId="19" fillId="0" borderId="0" xfId="9" applyFont="1" applyBorder="1">
      <alignment horizontal="center"/>
    </xf>
    <xf numFmtId="49" fontId="60" fillId="0" borderId="0" xfId="0" applyNumberFormat="1" applyFont="1" applyAlignment="1">
      <alignment horizontal="left" vertical="center" wrapText="1"/>
    </xf>
    <xf numFmtId="0" fontId="87" fillId="36" borderId="1" xfId="0" applyFont="1" applyFill="1" applyBorder="1" applyAlignment="1">
      <alignment horizontal="left" vertical="center" wrapText="1"/>
    </xf>
    <xf numFmtId="0" fontId="82" fillId="3" borderId="1" xfId="239" applyFill="1" applyBorder="1" applyAlignment="1">
      <alignment horizontal="left" vertical="center"/>
    </xf>
    <xf numFmtId="0" fontId="87" fillId="18" borderId="1" xfId="0" applyFont="1" applyFill="1" applyBorder="1" applyAlignment="1">
      <alignment horizontal="left" vertical="center" wrapText="1"/>
    </xf>
    <xf numFmtId="0" fontId="0" fillId="0" borderId="0" xfId="0" applyAlignment="1">
      <alignment horizontal="left" vertical="center"/>
    </xf>
    <xf numFmtId="0" fontId="88" fillId="0" borderId="1" xfId="0" applyFont="1" applyBorder="1" applyAlignment="1">
      <alignment horizontal="left" vertical="center"/>
    </xf>
    <xf numFmtId="0" fontId="115" fillId="0" borderId="0" xfId="0" applyFont="1" applyAlignment="1">
      <alignment horizontal="left" vertical="center"/>
    </xf>
    <xf numFmtId="0" fontId="116" fillId="0" borderId="0" xfId="0" applyFont="1" applyAlignment="1">
      <alignment horizontal="left" vertical="center"/>
    </xf>
    <xf numFmtId="0" fontId="84" fillId="3" borderId="1" xfId="238" applyFont="1" applyFill="1" applyBorder="1" applyAlignment="1">
      <alignment horizontal="left" vertical="center"/>
    </xf>
    <xf numFmtId="0" fontId="96" fillId="3" borderId="1" xfId="0" applyFont="1" applyFill="1" applyBorder="1" applyAlignment="1">
      <alignment horizontal="left" vertical="center"/>
    </xf>
    <xf numFmtId="0" fontId="96" fillId="3" borderId="1" xfId="68" applyFont="1" applyFill="1" applyBorder="1" applyAlignment="1">
      <alignment horizontal="left" vertical="center"/>
    </xf>
    <xf numFmtId="0" fontId="96" fillId="3" borderId="1" xfId="0" applyFont="1" applyFill="1" applyBorder="1" applyAlignment="1">
      <alignment horizontal="left" vertical="center" wrapText="1"/>
    </xf>
    <xf numFmtId="0" fontId="96" fillId="3" borderId="4" xfId="0" applyFont="1" applyFill="1" applyBorder="1" applyAlignment="1">
      <alignment horizontal="left" vertical="center"/>
    </xf>
    <xf numFmtId="0" fontId="96" fillId="3" borderId="4" xfId="68" applyFont="1" applyFill="1" applyBorder="1" applyAlignment="1">
      <alignment horizontal="left" vertical="center"/>
    </xf>
    <xf numFmtId="0" fontId="99" fillId="3" borderId="1" xfId="0" applyFont="1" applyFill="1" applyBorder="1" applyAlignment="1">
      <alignment horizontal="left" vertical="center"/>
    </xf>
    <xf numFmtId="0" fontId="99" fillId="3" borderId="1" xfId="68" applyFont="1" applyFill="1" applyBorder="1" applyAlignment="1">
      <alignment horizontal="left" vertical="center"/>
    </xf>
    <xf numFmtId="0" fontId="84" fillId="3" borderId="1" xfId="233" applyFont="1" applyFill="1" applyBorder="1" applyAlignment="1">
      <alignment horizontal="left" vertical="center"/>
    </xf>
    <xf numFmtId="0" fontId="85" fillId="3" borderId="1" xfId="233" applyFont="1" applyFill="1" applyBorder="1" applyAlignment="1">
      <alignment horizontal="left" vertical="center"/>
    </xf>
    <xf numFmtId="0" fontId="84" fillId="3" borderId="4" xfId="238" applyFont="1" applyFill="1" applyBorder="1" applyAlignment="1">
      <alignment horizontal="left" vertical="center"/>
    </xf>
    <xf numFmtId="0" fontId="86" fillId="3" borderId="1" xfId="233" applyFont="1" applyFill="1" applyBorder="1" applyAlignment="1">
      <alignment horizontal="left" vertical="center"/>
    </xf>
    <xf numFmtId="0" fontId="84" fillId="18" borderId="1" xfId="233" applyFont="1" applyFill="1" applyBorder="1" applyAlignment="1">
      <alignment horizontal="left" vertical="center"/>
    </xf>
    <xf numFmtId="0" fontId="85" fillId="18" borderId="1" xfId="233" applyFont="1" applyFill="1" applyBorder="1" applyAlignment="1">
      <alignment horizontal="left" vertical="center"/>
    </xf>
    <xf numFmtId="0" fontId="85" fillId="18" borderId="1" xfId="0" applyFont="1" applyFill="1" applyBorder="1" applyAlignment="1">
      <alignment horizontal="left" vertical="center"/>
    </xf>
    <xf numFmtId="0" fontId="89" fillId="0" borderId="1" xfId="0" applyFont="1" applyBorder="1" applyAlignment="1">
      <alignment horizontal="left" vertical="center"/>
    </xf>
    <xf numFmtId="0" fontId="0" fillId="3" borderId="1" xfId="0" applyFill="1" applyBorder="1" applyAlignment="1">
      <alignment horizontal="left" vertical="center"/>
    </xf>
    <xf numFmtId="0" fontId="91" fillId="0" borderId="1" xfId="0" applyFont="1" applyBorder="1" applyAlignment="1">
      <alignment horizontal="left" vertical="center"/>
    </xf>
    <xf numFmtId="0" fontId="92" fillId="0" borderId="1" xfId="0" applyFont="1" applyBorder="1" applyAlignment="1">
      <alignment horizontal="left" vertical="center"/>
    </xf>
    <xf numFmtId="0" fontId="76" fillId="14" borderId="1" xfId="238" applyFont="1" applyFill="1" applyBorder="1" applyAlignment="1">
      <alignment horizontal="left" vertical="center"/>
    </xf>
    <xf numFmtId="0" fontId="84" fillId="3" borderId="4" xfId="233" applyFont="1" applyFill="1" applyBorder="1" applyAlignment="1">
      <alignment horizontal="left" vertical="center"/>
    </xf>
    <xf numFmtId="0" fontId="85" fillId="3" borderId="4" xfId="233" applyFont="1" applyFill="1" applyBorder="1" applyAlignment="1">
      <alignment horizontal="left" vertical="center"/>
    </xf>
    <xf numFmtId="0" fontId="85" fillId="3" borderId="4" xfId="0" applyFont="1" applyFill="1" applyBorder="1" applyAlignment="1">
      <alignment horizontal="left" vertical="center"/>
    </xf>
    <xf numFmtId="0" fontId="85" fillId="3" borderId="1" xfId="240" applyFont="1" applyFill="1" applyBorder="1" applyAlignment="1">
      <alignment horizontal="left" vertical="center"/>
    </xf>
    <xf numFmtId="0" fontId="94" fillId="0" borderId="1" xfId="0" applyFont="1" applyBorder="1" applyAlignment="1">
      <alignment horizontal="left" vertical="center"/>
    </xf>
    <xf numFmtId="0" fontId="84" fillId="3" borderId="1" xfId="241" applyFont="1" applyFill="1" applyBorder="1" applyAlignment="1">
      <alignment horizontal="left" vertical="center"/>
    </xf>
    <xf numFmtId="0" fontId="85" fillId="3" borderId="1" xfId="238" applyFont="1" applyFill="1" applyBorder="1" applyAlignment="1">
      <alignment horizontal="left" vertical="center"/>
    </xf>
    <xf numFmtId="0" fontId="82" fillId="0" borderId="0" xfId="239" applyAlignment="1">
      <alignment horizontal="left" vertical="center"/>
    </xf>
    <xf numFmtId="0" fontId="85" fillId="0" borderId="1" xfId="238" applyFont="1" applyBorder="1" applyAlignment="1">
      <alignment horizontal="left" vertical="center"/>
    </xf>
    <xf numFmtId="0" fontId="0" fillId="18" borderId="1" xfId="0" applyFill="1" applyBorder="1" applyAlignment="1">
      <alignment horizontal="left" vertical="center" wrapText="1"/>
    </xf>
    <xf numFmtId="0" fontId="0" fillId="18" borderId="1" xfId="0" applyFill="1" applyBorder="1" applyAlignment="1">
      <alignment horizontal="left" vertical="center"/>
    </xf>
    <xf numFmtId="0" fontId="82" fillId="18" borderId="1" xfId="239" applyFill="1" applyBorder="1" applyAlignment="1">
      <alignment horizontal="left" vertical="center"/>
    </xf>
    <xf numFmtId="0" fontId="97" fillId="3" borderId="1" xfId="238" applyFont="1" applyFill="1" applyBorder="1" applyAlignment="1">
      <alignment horizontal="left" vertical="center"/>
    </xf>
    <xf numFmtId="0" fontId="76" fillId="3" borderId="1" xfId="238" applyFont="1" applyFill="1" applyBorder="1" applyAlignment="1">
      <alignment horizontal="left" vertical="center"/>
    </xf>
    <xf numFmtId="0" fontId="85" fillId="3" borderId="40" xfId="0" applyFont="1" applyFill="1" applyBorder="1" applyAlignment="1">
      <alignment horizontal="left" vertical="center"/>
    </xf>
    <xf numFmtId="0" fontId="85" fillId="3" borderId="0" xfId="0" applyFont="1" applyFill="1" applyAlignment="1">
      <alignment horizontal="left" vertical="center"/>
    </xf>
    <xf numFmtId="0" fontId="85" fillId="3" borderId="3" xfId="238" applyFont="1" applyFill="1" applyBorder="1" applyAlignment="1">
      <alignment horizontal="left" vertical="center"/>
    </xf>
    <xf numFmtId="0" fontId="85" fillId="40" borderId="1" xfId="0" applyFont="1" applyFill="1" applyBorder="1" applyAlignment="1">
      <alignment horizontal="left" vertical="center" wrapText="1"/>
    </xf>
    <xf numFmtId="0" fontId="85" fillId="18" borderId="1" xfId="240" applyFont="1" applyFill="1" applyBorder="1" applyAlignment="1">
      <alignment horizontal="left" vertical="center"/>
    </xf>
    <xf numFmtId="0" fontId="98" fillId="3" borderId="1" xfId="0" applyFont="1" applyFill="1" applyBorder="1" applyAlignment="1">
      <alignment horizontal="left" vertical="center"/>
    </xf>
    <xf numFmtId="0" fontId="85" fillId="3" borderId="1" xfId="68" applyFont="1" applyFill="1" applyBorder="1" applyAlignment="1">
      <alignment horizontal="left" vertical="center"/>
    </xf>
    <xf numFmtId="0" fontId="36" fillId="3" borderId="1" xfId="0" applyFont="1" applyFill="1" applyBorder="1" applyAlignment="1">
      <alignment horizontal="left" vertical="center"/>
    </xf>
    <xf numFmtId="0" fontId="76" fillId="18" borderId="1" xfId="238" applyFont="1" applyFill="1" applyBorder="1" applyAlignment="1">
      <alignment horizontal="left" vertical="center"/>
    </xf>
    <xf numFmtId="0" fontId="85" fillId="18" borderId="1" xfId="238" applyFont="1" applyFill="1" applyBorder="1" applyAlignment="1">
      <alignment horizontal="left" vertical="center"/>
    </xf>
    <xf numFmtId="0" fontId="84" fillId="3" borderId="1" xfId="0" applyFont="1" applyFill="1" applyBorder="1" applyAlignment="1">
      <alignment horizontal="left" vertical="center"/>
    </xf>
    <xf numFmtId="0" fontId="102" fillId="0" borderId="1" xfId="0" applyFont="1" applyBorder="1" applyAlignment="1">
      <alignment horizontal="left" vertical="center"/>
    </xf>
    <xf numFmtId="0" fontId="85" fillId="3" borderId="4" xfId="238" applyFont="1" applyFill="1" applyBorder="1" applyAlignment="1">
      <alignment horizontal="left" vertical="center"/>
    </xf>
    <xf numFmtId="0" fontId="85" fillId="3" borderId="12" xfId="0" applyFont="1" applyFill="1" applyBorder="1" applyAlignment="1">
      <alignment horizontal="left" vertical="center"/>
    </xf>
    <xf numFmtId="0" fontId="105" fillId="0" borderId="0" xfId="0" applyFont="1" applyAlignment="1">
      <alignment horizontal="left" vertical="center"/>
    </xf>
    <xf numFmtId="0" fontId="85" fillId="3" borderId="11" xfId="0" applyFont="1" applyFill="1" applyBorder="1" applyAlignment="1">
      <alignment horizontal="left" vertical="center"/>
    </xf>
    <xf numFmtId="0" fontId="106" fillId="0" borderId="1" xfId="0" applyFont="1" applyBorder="1" applyAlignment="1">
      <alignment horizontal="left" vertical="center"/>
    </xf>
    <xf numFmtId="0" fontId="107" fillId="0" borderId="1" xfId="0" applyFont="1" applyBorder="1" applyAlignment="1">
      <alignment horizontal="left" vertical="center"/>
    </xf>
    <xf numFmtId="0" fontId="84" fillId="3" borderId="1" xfId="240" applyFont="1" applyFill="1" applyBorder="1" applyAlignment="1">
      <alignment horizontal="left" vertical="center"/>
    </xf>
    <xf numFmtId="0" fontId="84" fillId="3" borderId="2" xfId="240" applyFont="1" applyFill="1" applyBorder="1" applyAlignment="1">
      <alignment horizontal="left" vertical="center"/>
    </xf>
    <xf numFmtId="0" fontId="84" fillId="3" borderId="2" xfId="238" applyFont="1" applyFill="1" applyBorder="1" applyAlignment="1">
      <alignment horizontal="left" vertical="center"/>
    </xf>
    <xf numFmtId="0" fontId="45" fillId="0" borderId="0" xfId="238" applyAlignment="1">
      <alignment horizontal="left" vertical="center"/>
    </xf>
    <xf numFmtId="0" fontId="85" fillId="0" borderId="2" xfId="238" applyFont="1" applyBorder="1" applyAlignment="1">
      <alignment horizontal="left" vertical="center"/>
    </xf>
    <xf numFmtId="0" fontId="45" fillId="0" borderId="2" xfId="238" applyBorder="1" applyAlignment="1">
      <alignment horizontal="left" vertical="center"/>
    </xf>
    <xf numFmtId="0" fontId="45" fillId="0" borderId="1" xfId="238" applyBorder="1" applyAlignment="1">
      <alignment horizontal="left" vertical="center"/>
    </xf>
    <xf numFmtId="0" fontId="95" fillId="0" borderId="1" xfId="0" applyFont="1" applyBorder="1" applyAlignment="1">
      <alignment horizontal="left" vertical="center"/>
    </xf>
    <xf numFmtId="0" fontId="84" fillId="3" borderId="59" xfId="240" applyFont="1" applyFill="1" applyBorder="1" applyAlignment="1">
      <alignment horizontal="left" vertical="center"/>
    </xf>
    <xf numFmtId="0" fontId="84" fillId="3" borderId="59" xfId="238" applyFont="1" applyFill="1" applyBorder="1" applyAlignment="1">
      <alignment horizontal="left" vertical="center"/>
    </xf>
    <xf numFmtId="0" fontId="90" fillId="0" borderId="4" xfId="0" applyFont="1" applyBorder="1" applyAlignment="1">
      <alignment horizontal="left" vertical="center"/>
    </xf>
    <xf numFmtId="166" fontId="120" fillId="0" borderId="1" xfId="243" applyBorder="1" applyAlignment="1">
      <alignment horizontal="left" vertical="center"/>
    </xf>
    <xf numFmtId="168" fontId="21" fillId="0" borderId="0" xfId="1" applyNumberFormat="1" applyFont="1" applyFill="1" applyBorder="1" applyAlignment="1">
      <alignment horizontal="center" vertical="center"/>
    </xf>
    <xf numFmtId="0" fontId="21" fillId="13" borderId="0" xfId="1" applyFont="1" applyFill="1" applyAlignment="1">
      <alignment horizontal="center" vertical="center"/>
    </xf>
    <xf numFmtId="0" fontId="35" fillId="14" borderId="0" xfId="1" applyFont="1" applyFill="1" applyAlignment="1">
      <alignment horizontal="center" vertical="center"/>
    </xf>
    <xf numFmtId="0" fontId="106" fillId="0" borderId="0" xfId="0" applyFont="1"/>
    <xf numFmtId="0" fontId="24" fillId="0" borderId="0" xfId="1" applyFont="1" applyFill="1" applyAlignment="1">
      <alignment horizontal="center" vertical="center"/>
    </xf>
    <xf numFmtId="0" fontId="125" fillId="3" borderId="0" xfId="0" applyFont="1" applyFill="1" applyAlignment="1">
      <alignment horizontal="center"/>
    </xf>
    <xf numFmtId="0" fontId="3" fillId="0" borderId="0" xfId="0" applyFont="1" applyAlignment="1">
      <alignment horizontal="center"/>
    </xf>
    <xf numFmtId="0" fontId="4" fillId="0" borderId="0" xfId="0" applyFont="1" applyAlignment="1">
      <alignment horizontal="left"/>
    </xf>
    <xf numFmtId="0" fontId="24" fillId="0" borderId="0" xfId="1" applyFont="1" applyFill="1" applyBorder="1">
      <alignment horizontal="left"/>
    </xf>
    <xf numFmtId="0" fontId="24" fillId="0" borderId="0" xfId="1" applyFont="1" applyFill="1">
      <alignment horizontal="left"/>
    </xf>
    <xf numFmtId="0" fontId="0" fillId="0" borderId="0" xfId="0" applyAlignment="1">
      <alignment horizontal="left"/>
    </xf>
    <xf numFmtId="0" fontId="82" fillId="3" borderId="0" xfId="239" applyFill="1" applyAlignment="1">
      <alignment horizontal="left"/>
    </xf>
    <xf numFmtId="1" fontId="25" fillId="0" borderId="47" xfId="1" applyNumberFormat="1" applyFont="1" applyBorder="1" applyAlignment="1">
      <alignment horizontal="center"/>
    </xf>
    <xf numFmtId="0" fontId="127" fillId="0" borderId="0" xfId="0" applyFont="1" applyAlignment="1">
      <alignment vertical="center"/>
    </xf>
    <xf numFmtId="1" fontId="41" fillId="0" borderId="0" xfId="2" applyNumberFormat="1" applyFont="1" applyAlignment="1">
      <alignment horizontal="left" vertical="center"/>
    </xf>
    <xf numFmtId="3" fontId="18" fillId="12" borderId="0" xfId="9" applyFill="1" applyBorder="1" applyAlignment="1">
      <alignment horizontal="left" vertical="center"/>
    </xf>
    <xf numFmtId="0" fontId="66" fillId="28" borderId="43" xfId="2" applyNumberFormat="1" applyFont="1" applyFill="1" applyBorder="1" applyAlignment="1">
      <alignment horizontal="left" vertical="center"/>
    </xf>
    <xf numFmtId="1" fontId="66" fillId="28" borderId="43" xfId="2" applyNumberFormat="1" applyFont="1" applyFill="1" applyBorder="1" applyAlignment="1">
      <alignment horizontal="left" vertical="center"/>
    </xf>
    <xf numFmtId="1" fontId="66" fillId="12" borderId="0" xfId="2" applyNumberFormat="1" applyFont="1" applyFill="1" applyBorder="1" applyAlignment="1">
      <alignment horizontal="left" vertical="center"/>
    </xf>
    <xf numFmtId="1" fontId="26" fillId="12" borderId="0" xfId="2" applyNumberFormat="1" applyFont="1" applyFill="1" applyBorder="1" applyAlignment="1">
      <alignment horizontal="left" vertical="center"/>
    </xf>
    <xf numFmtId="2" fontId="47" fillId="13" borderId="43" xfId="2" applyNumberFormat="1" applyFont="1" applyFill="1" applyBorder="1" applyAlignment="1">
      <alignment horizontal="left" vertical="center"/>
    </xf>
    <xf numFmtId="0" fontId="128" fillId="0" borderId="35" xfId="0" applyFont="1" applyBorder="1"/>
    <xf numFmtId="0" fontId="0" fillId="0" borderId="36" xfId="0" applyBorder="1" applyAlignment="1">
      <alignment horizontal="center"/>
    </xf>
    <xf numFmtId="0" fontId="0" fillId="45" borderId="36" xfId="0" applyFill="1" applyBorder="1" applyAlignment="1">
      <alignment horizontal="center"/>
    </xf>
    <xf numFmtId="0" fontId="0" fillId="3" borderId="36" xfId="0" applyFill="1" applyBorder="1" applyAlignment="1">
      <alignment horizontal="center"/>
    </xf>
    <xf numFmtId="0" fontId="128" fillId="0" borderId="16" xfId="0" applyFont="1" applyBorder="1"/>
    <xf numFmtId="0" fontId="0" fillId="0" borderId="1" xfId="0" applyBorder="1" applyAlignment="1">
      <alignment horizontal="center"/>
    </xf>
    <xf numFmtId="0" fontId="0" fillId="45" borderId="1" xfId="0" applyFill="1" applyBorder="1" applyAlignment="1">
      <alignment horizontal="center"/>
    </xf>
    <xf numFmtId="0" fontId="0" fillId="3" borderId="1" xfId="0" applyFill="1" applyBorder="1" applyAlignment="1">
      <alignment horizontal="center"/>
    </xf>
    <xf numFmtId="0" fontId="128" fillId="0" borderId="23" xfId="0" applyFont="1" applyBorder="1"/>
    <xf numFmtId="0" fontId="0" fillId="0" borderId="17" xfId="0" applyBorder="1" applyAlignment="1">
      <alignment horizontal="center"/>
    </xf>
    <xf numFmtId="0" fontId="0" fillId="45" borderId="17" xfId="0" applyFill="1" applyBorder="1" applyAlignment="1">
      <alignment horizontal="center"/>
    </xf>
    <xf numFmtId="0" fontId="0" fillId="3" borderId="17" xfId="0" applyFill="1" applyBorder="1" applyAlignment="1">
      <alignment horizontal="center"/>
    </xf>
    <xf numFmtId="0" fontId="129" fillId="0" borderId="35" xfId="0" applyFont="1" applyBorder="1"/>
    <xf numFmtId="0" fontId="129" fillId="0" borderId="16" xfId="0" applyFont="1" applyBorder="1"/>
    <xf numFmtId="0" fontId="130" fillId="3" borderId="1" xfId="0" applyFont="1" applyFill="1" applyBorder="1" applyAlignment="1">
      <alignment horizontal="center"/>
    </xf>
    <xf numFmtId="0" fontId="130" fillId="3" borderId="1" xfId="0" applyFont="1" applyFill="1" applyBorder="1" applyAlignment="1">
      <alignment horizontal="center" vertical="center"/>
    </xf>
    <xf numFmtId="0" fontId="130" fillId="0" borderId="16" xfId="0" applyFont="1" applyBorder="1"/>
    <xf numFmtId="0" fontId="130" fillId="45" borderId="1" xfId="0" applyFont="1" applyFill="1" applyBorder="1" applyAlignment="1">
      <alignment horizontal="center"/>
    </xf>
    <xf numFmtId="0" fontId="130" fillId="0" borderId="1" xfId="0" applyFont="1" applyBorder="1" applyAlignment="1">
      <alignment horizontal="center" vertical="center"/>
    </xf>
    <xf numFmtId="0" fontId="130" fillId="3" borderId="16" xfId="0" applyFont="1" applyFill="1" applyBorder="1"/>
    <xf numFmtId="0" fontId="130" fillId="45" borderId="1" xfId="0" applyFont="1" applyFill="1" applyBorder="1" applyAlignment="1">
      <alignment horizontal="center" vertical="center"/>
    </xf>
    <xf numFmtId="0" fontId="130" fillId="0" borderId="23" xfId="0" applyFont="1" applyBorder="1"/>
    <xf numFmtId="0" fontId="130" fillId="3" borderId="17" xfId="0" applyFont="1" applyFill="1" applyBorder="1" applyAlignment="1">
      <alignment horizontal="center" vertical="center"/>
    </xf>
    <xf numFmtId="0" fontId="2" fillId="6" borderId="36" xfId="0" applyFont="1" applyFill="1" applyBorder="1" applyAlignment="1">
      <alignment horizontal="center"/>
    </xf>
    <xf numFmtId="0" fontId="69" fillId="20" borderId="36" xfId="0" applyFont="1" applyFill="1" applyBorder="1" applyAlignment="1">
      <alignment horizontal="center" vertical="center"/>
    </xf>
    <xf numFmtId="0" fontId="2" fillId="46" borderId="1" xfId="0" applyFont="1" applyFill="1" applyBorder="1" applyAlignment="1">
      <alignment horizontal="center"/>
    </xf>
    <xf numFmtId="0" fontId="69" fillId="20" borderId="1" xfId="0" applyFont="1" applyFill="1" applyBorder="1" applyAlignment="1">
      <alignment horizontal="center" vertical="center"/>
    </xf>
    <xf numFmtId="0" fontId="3" fillId="4" borderId="1" xfId="13" applyNumberFormat="1" applyFont="1" applyFill="1" applyBorder="1" applyAlignment="1">
      <alignment horizontal="center"/>
    </xf>
    <xf numFmtId="0" fontId="2" fillId="13" borderId="1" xfId="0" applyFont="1" applyFill="1" applyBorder="1" applyAlignment="1">
      <alignment horizontal="center"/>
    </xf>
    <xf numFmtId="0" fontId="2" fillId="12" borderId="1" xfId="0" applyFont="1" applyFill="1" applyBorder="1" applyAlignment="1">
      <alignment horizontal="center"/>
    </xf>
    <xf numFmtId="0" fontId="2" fillId="18" borderId="1" xfId="0" applyFont="1" applyFill="1" applyBorder="1" applyAlignment="1">
      <alignment horizontal="center"/>
    </xf>
    <xf numFmtId="0" fontId="3" fillId="4" borderId="17" xfId="13" applyNumberFormat="1" applyFont="1" applyFill="1" applyBorder="1" applyAlignment="1">
      <alignment horizontal="center"/>
    </xf>
    <xf numFmtId="0" fontId="0" fillId="0" borderId="17" xfId="0" applyBorder="1"/>
    <xf numFmtId="0" fontId="69" fillId="20" borderId="17" xfId="0" applyFont="1" applyFill="1" applyBorder="1" applyAlignment="1">
      <alignment horizontal="center" vertical="center"/>
    </xf>
    <xf numFmtId="0" fontId="130" fillId="45" borderId="36" xfId="0" applyFont="1" applyFill="1" applyBorder="1" applyAlignment="1">
      <alignment horizontal="center" vertical="center"/>
    </xf>
    <xf numFmtId="0" fontId="130" fillId="3" borderId="36" xfId="0" applyFont="1" applyFill="1" applyBorder="1" applyAlignment="1">
      <alignment horizontal="center" vertical="center"/>
    </xf>
    <xf numFmtId="0" fontId="130" fillId="0" borderId="1" xfId="0" applyFont="1" applyBorder="1" applyAlignment="1">
      <alignment horizontal="center"/>
    </xf>
    <xf numFmtId="0" fontId="130" fillId="0" borderId="17" xfId="0" applyFont="1" applyBorder="1" applyAlignment="1">
      <alignment horizontal="center" vertical="center"/>
    </xf>
    <xf numFmtId="0" fontId="2" fillId="48" borderId="1" xfId="0" applyFont="1" applyFill="1" applyBorder="1" applyAlignment="1">
      <alignment horizontal="center"/>
    </xf>
    <xf numFmtId="0" fontId="2" fillId="6" borderId="17" xfId="0" applyFont="1" applyFill="1" applyBorder="1" applyAlignment="1">
      <alignment horizontal="center"/>
    </xf>
    <xf numFmtId="0" fontId="130" fillId="0" borderId="36" xfId="0" applyFont="1" applyBorder="1" applyAlignment="1">
      <alignment horizontal="center" vertical="center"/>
    </xf>
    <xf numFmtId="0" fontId="0" fillId="0" borderId="16" xfId="0" applyBorder="1"/>
    <xf numFmtId="0" fontId="130" fillId="0" borderId="17" xfId="0" applyFont="1" applyBorder="1" applyAlignment="1">
      <alignment horizontal="center"/>
    </xf>
    <xf numFmtId="0" fontId="2" fillId="48" borderId="36" xfId="0" applyFont="1" applyFill="1" applyBorder="1" applyAlignment="1">
      <alignment horizontal="center"/>
    </xf>
    <xf numFmtId="0" fontId="2" fillId="6" borderId="1" xfId="0" applyFont="1" applyFill="1" applyBorder="1" applyAlignment="1">
      <alignment horizontal="center"/>
    </xf>
    <xf numFmtId="0" fontId="128" fillId="3" borderId="16" xfId="0" applyFont="1" applyFill="1" applyBorder="1"/>
    <xf numFmtId="0" fontId="130" fillId="3" borderId="17" xfId="0" applyFont="1" applyFill="1" applyBorder="1" applyAlignment="1">
      <alignment horizontal="center"/>
    </xf>
    <xf numFmtId="0" fontId="75" fillId="41" borderId="85" xfId="0" applyFont="1" applyFill="1" applyBorder="1" applyAlignment="1">
      <alignment horizontal="center" vertical="center"/>
    </xf>
    <xf numFmtId="0" fontId="75" fillId="42" borderId="40" xfId="0" applyFont="1" applyFill="1" applyBorder="1" applyAlignment="1">
      <alignment horizontal="center" vertical="center" wrapText="1"/>
    </xf>
    <xf numFmtId="0" fontId="75" fillId="43" borderId="86" xfId="0" applyFont="1" applyFill="1" applyBorder="1" applyAlignment="1">
      <alignment horizontal="center" vertical="center" wrapText="1"/>
    </xf>
    <xf numFmtId="0" fontId="71" fillId="29" borderId="55" xfId="0" applyFont="1" applyFill="1" applyBorder="1" applyAlignment="1">
      <alignment horizontal="center" vertical="center" wrapText="1"/>
    </xf>
    <xf numFmtId="0" fontId="71" fillId="29" borderId="59" xfId="0" applyFont="1" applyFill="1" applyBorder="1" applyAlignment="1">
      <alignment horizontal="center" vertical="center" wrapText="1"/>
    </xf>
    <xf numFmtId="0" fontId="71" fillId="29" borderId="63" xfId="0" applyFont="1" applyFill="1" applyBorder="1" applyAlignment="1">
      <alignment horizontal="center" vertical="center" wrapText="1"/>
    </xf>
    <xf numFmtId="0" fontId="71" fillId="31" borderId="55" xfId="0" applyFont="1" applyFill="1" applyBorder="1" applyAlignment="1">
      <alignment horizontal="center" vertical="center"/>
    </xf>
    <xf numFmtId="0" fontId="71" fillId="31" borderId="59" xfId="0" applyFont="1" applyFill="1" applyBorder="1" applyAlignment="1">
      <alignment horizontal="center" vertical="center" wrapText="1"/>
    </xf>
    <xf numFmtId="0" fontId="71" fillId="32" borderId="83" xfId="0" applyFont="1" applyFill="1" applyBorder="1" applyAlignment="1">
      <alignment horizontal="center" vertical="center" wrapText="1"/>
    </xf>
    <xf numFmtId="0" fontId="71" fillId="32" borderId="52" xfId="0" applyFont="1" applyFill="1" applyBorder="1" applyAlignment="1">
      <alignment horizontal="center" vertical="center" wrapText="1"/>
    </xf>
    <xf numFmtId="0" fontId="71" fillId="32" borderId="84" xfId="0" applyFont="1" applyFill="1" applyBorder="1" applyAlignment="1">
      <alignment horizontal="center" vertical="center" wrapText="1"/>
    </xf>
    <xf numFmtId="0" fontId="71" fillId="33" borderId="87" xfId="0" applyFont="1" applyFill="1" applyBorder="1" applyAlignment="1">
      <alignment horizontal="center" vertical="center" wrapText="1"/>
    </xf>
    <xf numFmtId="0" fontId="71" fillId="33" borderId="52" xfId="0" applyFont="1" applyFill="1" applyBorder="1" applyAlignment="1">
      <alignment horizontal="center" vertical="center" wrapText="1"/>
    </xf>
    <xf numFmtId="0" fontId="71" fillId="33" borderId="84" xfId="0" applyFont="1" applyFill="1" applyBorder="1" applyAlignment="1">
      <alignment horizontal="center" vertical="center" wrapText="1"/>
    </xf>
    <xf numFmtId="0" fontId="73" fillId="14" borderId="35" xfId="0" applyFont="1" applyFill="1" applyBorder="1" applyAlignment="1">
      <alignment horizontal="center" vertical="center"/>
    </xf>
    <xf numFmtId="0" fontId="73" fillId="14" borderId="36" xfId="0" applyFont="1" applyFill="1" applyBorder="1" applyAlignment="1">
      <alignment horizontal="center" vertical="center"/>
    </xf>
    <xf numFmtId="0" fontId="73" fillId="14" borderId="41" xfId="0" applyFont="1" applyFill="1" applyBorder="1" applyAlignment="1">
      <alignment horizontal="center" vertical="center"/>
    </xf>
    <xf numFmtId="0" fontId="73" fillId="14" borderId="85" xfId="0" applyFont="1" applyFill="1" applyBorder="1" applyAlignment="1">
      <alignment horizontal="center" vertical="center"/>
    </xf>
    <xf numFmtId="0" fontId="73" fillId="14" borderId="36" xfId="0" applyFont="1" applyFill="1" applyBorder="1" applyAlignment="1">
      <alignment horizontal="center" vertical="center" wrapText="1"/>
    </xf>
    <xf numFmtId="166" fontId="132" fillId="0" borderId="1" xfId="244" applyFont="1" applyBorder="1" applyAlignment="1">
      <alignment horizontal="left"/>
    </xf>
    <xf numFmtId="166" fontId="133" fillId="39" borderId="1" xfId="244" applyFont="1" applyFill="1" applyBorder="1" applyAlignment="1">
      <alignment horizontal="left"/>
    </xf>
    <xf numFmtId="166" fontId="120" fillId="0" borderId="3" xfId="243" applyBorder="1" applyAlignment="1">
      <alignment horizontal="left"/>
    </xf>
    <xf numFmtId="166" fontId="133" fillId="39" borderId="59" xfId="244" applyFont="1" applyFill="1" applyBorder="1" applyAlignment="1">
      <alignment horizontal="left"/>
    </xf>
    <xf numFmtId="166" fontId="45" fillId="0" borderId="1" xfId="244" applyBorder="1" applyAlignment="1">
      <alignment horizontal="left"/>
    </xf>
    <xf numFmtId="166" fontId="82" fillId="0" borderId="3" xfId="239" applyNumberFormat="1" applyBorder="1" applyAlignment="1">
      <alignment horizontal="left"/>
    </xf>
    <xf numFmtId="166" fontId="134" fillId="0" borderId="3" xfId="245" applyNumberFormat="1" applyBorder="1" applyAlignment="1">
      <alignment horizontal="left"/>
    </xf>
    <xf numFmtId="166" fontId="133" fillId="0" borderId="0" xfId="244" applyFont="1"/>
    <xf numFmtId="0" fontId="82" fillId="3" borderId="4" xfId="239" applyFill="1" applyBorder="1" applyAlignment="1">
      <alignment horizontal="left" vertical="center"/>
    </xf>
    <xf numFmtId="1" fontId="51" fillId="0" borderId="0" xfId="2" applyNumberFormat="1" applyFont="1" applyFill="1" applyAlignment="1">
      <alignment horizontal="center" vertical="center"/>
    </xf>
    <xf numFmtId="1" fontId="26" fillId="0" borderId="8" xfId="3" applyNumberFormat="1" applyFont="1" applyBorder="1">
      <alignment horizontal="center" vertical="center"/>
    </xf>
    <xf numFmtId="0" fontId="135" fillId="12" borderId="0" xfId="0" applyFont="1" applyFill="1" applyAlignment="1">
      <alignment horizontal="center" vertical="center"/>
    </xf>
    <xf numFmtId="0" fontId="137" fillId="12" borderId="0" xfId="0" applyFont="1" applyFill="1" applyAlignment="1">
      <alignment horizontal="center" vertical="center"/>
    </xf>
    <xf numFmtId="9" fontId="136" fillId="18" borderId="0" xfId="242" applyFont="1" applyFill="1" applyBorder="1" applyAlignment="1">
      <alignment horizontal="center" vertical="center"/>
    </xf>
    <xf numFmtId="0" fontId="54" fillId="47" borderId="36" xfId="246" applyNumberFormat="1" applyFont="1" applyFill="1" applyBorder="1" applyAlignment="1">
      <alignment horizontal="center"/>
    </xf>
    <xf numFmtId="0" fontId="54" fillId="47" borderId="17" xfId="246" applyNumberFormat="1" applyFont="1" applyFill="1" applyBorder="1" applyAlignment="1">
      <alignment horizontal="center"/>
    </xf>
    <xf numFmtId="0" fontId="121" fillId="47" borderId="1" xfId="246" applyNumberFormat="1" applyFont="1" applyFill="1" applyBorder="1" applyAlignment="1">
      <alignment horizontal="center"/>
    </xf>
    <xf numFmtId="0" fontId="121" fillId="47" borderId="1" xfId="246" applyNumberFormat="1" applyFont="1" applyFill="1" applyBorder="1" applyAlignment="1">
      <alignment horizontal="center" vertical="center"/>
    </xf>
    <xf numFmtId="0" fontId="121" fillId="47" borderId="17" xfId="246" applyNumberFormat="1" applyFont="1" applyFill="1" applyBorder="1" applyAlignment="1">
      <alignment horizontal="center"/>
    </xf>
    <xf numFmtId="0" fontId="54" fillId="47" borderId="36" xfId="246" applyNumberFormat="1" applyFont="1" applyFill="1" applyBorder="1" applyAlignment="1">
      <alignment horizontal="center" vertical="center"/>
    </xf>
    <xf numFmtId="0" fontId="54" fillId="47" borderId="1" xfId="246" applyNumberFormat="1" applyFont="1" applyFill="1" applyBorder="1" applyAlignment="1">
      <alignment horizontal="center" vertical="center"/>
    </xf>
    <xf numFmtId="0" fontId="54" fillId="4" borderId="1" xfId="246" applyNumberFormat="1" applyFont="1" applyFill="1" applyBorder="1" applyAlignment="1">
      <alignment horizontal="center"/>
    </xf>
    <xf numFmtId="0" fontId="121" fillId="4" borderId="1" xfId="246" applyNumberFormat="1" applyFont="1" applyFill="1" applyBorder="1" applyAlignment="1">
      <alignment horizontal="center"/>
    </xf>
    <xf numFmtId="0" fontId="130" fillId="45" borderId="36" xfId="0" applyFont="1" applyFill="1" applyBorder="1" applyAlignment="1">
      <alignment horizontal="center"/>
    </xf>
    <xf numFmtId="1" fontId="78" fillId="0" borderId="1" xfId="0" applyNumberFormat="1" applyFont="1" applyBorder="1" applyAlignment="1">
      <alignment horizontal="center" vertical="center"/>
    </xf>
    <xf numFmtId="1" fontId="3" fillId="0" borderId="2" xfId="0" applyNumberFormat="1" applyFont="1" applyBorder="1" applyAlignment="1">
      <alignment horizontal="center"/>
    </xf>
    <xf numFmtId="166" fontId="45" fillId="49" borderId="1" xfId="244" applyFill="1" applyBorder="1" applyAlignment="1">
      <alignment horizontal="left"/>
    </xf>
    <xf numFmtId="0" fontId="84" fillId="0" borderId="2" xfId="238" applyFont="1" applyBorder="1" applyAlignment="1">
      <alignment horizontal="left" vertical="center"/>
    </xf>
    <xf numFmtId="166" fontId="82" fillId="0" borderId="3" xfId="239" applyNumberFormat="1" applyFill="1" applyBorder="1" applyAlignment="1">
      <alignment horizontal="left"/>
    </xf>
    <xf numFmtId="166" fontId="82" fillId="0" borderId="3" xfId="239" applyNumberFormat="1" applyFill="1" applyBorder="1" applyAlignment="1"/>
    <xf numFmtId="166" fontId="82" fillId="0" borderId="1" xfId="239" applyNumberFormat="1" applyBorder="1"/>
    <xf numFmtId="0" fontId="3" fillId="4" borderId="36" xfId="13" applyNumberFormat="1" applyFont="1" applyFill="1" applyBorder="1" applyAlignment="1">
      <alignment horizontal="center"/>
    </xf>
    <xf numFmtId="0" fontId="121" fillId="4" borderId="17" xfId="246" applyNumberFormat="1" applyFont="1" applyFill="1" applyBorder="1" applyAlignment="1">
      <alignment horizontal="center"/>
    </xf>
    <xf numFmtId="1" fontId="48" fillId="3" borderId="44" xfId="0" applyNumberFormat="1" applyFont="1" applyFill="1" applyBorder="1" applyAlignment="1">
      <alignment horizontal="center" vertical="center"/>
    </xf>
    <xf numFmtId="165" fontId="22" fillId="4" borderId="51" xfId="2" applyNumberFormat="1" applyFont="1" applyFill="1" applyBorder="1" applyAlignment="1">
      <alignment horizontal="center" vertical="center"/>
    </xf>
    <xf numFmtId="165" fontId="4" fillId="4" borderId="51" xfId="0" applyNumberFormat="1" applyFont="1" applyFill="1" applyBorder="1" applyAlignment="1">
      <alignment horizontal="center"/>
    </xf>
    <xf numFmtId="1" fontId="25" fillId="0" borderId="44" xfId="1" applyNumberFormat="1" applyFont="1" applyBorder="1" applyAlignment="1">
      <alignment horizontal="center"/>
    </xf>
    <xf numFmtId="0" fontId="131" fillId="3" borderId="36" xfId="0" applyFont="1" applyFill="1" applyBorder="1" applyAlignment="1">
      <alignment horizontal="center" vertical="center"/>
    </xf>
    <xf numFmtId="0" fontId="131" fillId="3" borderId="1" xfId="0" applyFont="1" applyFill="1" applyBorder="1" applyAlignment="1">
      <alignment horizontal="center" vertical="center"/>
    </xf>
    <xf numFmtId="0" fontId="131" fillId="45" borderId="1" xfId="0" applyFont="1" applyFill="1" applyBorder="1" applyAlignment="1">
      <alignment horizontal="center" vertical="center"/>
    </xf>
    <xf numFmtId="0" fontId="131" fillId="45" borderId="17" xfId="0" applyFont="1" applyFill="1" applyBorder="1" applyAlignment="1">
      <alignment horizontal="center" vertical="center"/>
    </xf>
    <xf numFmtId="0" fontId="131" fillId="45" borderId="36" xfId="0" applyFont="1" applyFill="1" applyBorder="1" applyAlignment="1">
      <alignment horizontal="center" vertical="center"/>
    </xf>
    <xf numFmtId="1" fontId="131" fillId="45" borderId="36" xfId="0" applyNumberFormat="1" applyFont="1" applyFill="1" applyBorder="1" applyAlignment="1">
      <alignment horizontal="center" vertical="center"/>
    </xf>
    <xf numFmtId="1" fontId="131" fillId="45" borderId="1" xfId="0" applyNumberFormat="1" applyFont="1" applyFill="1" applyBorder="1" applyAlignment="1">
      <alignment horizontal="center" vertical="center"/>
    </xf>
    <xf numFmtId="1" fontId="131" fillId="45" borderId="17" xfId="0" applyNumberFormat="1" applyFont="1" applyFill="1" applyBorder="1" applyAlignment="1">
      <alignment horizontal="center" vertical="center"/>
    </xf>
    <xf numFmtId="1" fontId="131" fillId="3" borderId="36" xfId="0" applyNumberFormat="1" applyFont="1" applyFill="1" applyBorder="1" applyAlignment="1">
      <alignment horizontal="center" vertical="center"/>
    </xf>
    <xf numFmtId="1" fontId="131" fillId="3" borderId="1" xfId="0" applyNumberFormat="1" applyFont="1" applyFill="1" applyBorder="1" applyAlignment="1">
      <alignment horizontal="center" vertical="center"/>
    </xf>
    <xf numFmtId="0" fontId="3" fillId="22" borderId="1" xfId="0" applyFont="1" applyFill="1" applyBorder="1" applyAlignment="1">
      <alignment horizontal="center"/>
    </xf>
    <xf numFmtId="0" fontId="69" fillId="20" borderId="2" xfId="0" applyFont="1" applyFill="1" applyBorder="1" applyAlignment="1">
      <alignment horizontal="center" vertical="center"/>
    </xf>
    <xf numFmtId="1" fontId="131" fillId="3" borderId="17" xfId="0" applyNumberFormat="1" applyFont="1" applyFill="1" applyBorder="1" applyAlignment="1">
      <alignment horizontal="center" vertical="center"/>
    </xf>
    <xf numFmtId="0" fontId="71" fillId="29" borderId="89" xfId="0" applyFont="1" applyFill="1" applyBorder="1" applyAlignment="1">
      <alignment horizontal="center" vertical="center" wrapText="1"/>
    </xf>
    <xf numFmtId="0" fontId="0" fillId="0" borderId="36" xfId="0" applyBorder="1"/>
    <xf numFmtId="0" fontId="130" fillId="14" borderId="16" xfId="0" applyFont="1" applyFill="1" applyBorder="1"/>
    <xf numFmtId="0" fontId="84" fillId="3" borderId="4" xfId="238" applyFont="1" applyFill="1" applyBorder="1" applyAlignment="1">
      <alignment horizontal="left" vertical="center" wrapText="1"/>
    </xf>
    <xf numFmtId="0" fontId="82" fillId="3" borderId="4" xfId="239" applyFill="1" applyBorder="1" applyAlignment="1">
      <alignment horizontal="left" vertical="center" wrapText="1"/>
    </xf>
    <xf numFmtId="0" fontId="138" fillId="2" borderId="83" xfId="0" applyFont="1" applyFill="1" applyBorder="1" applyAlignment="1">
      <alignment horizontal="center" vertical="center"/>
    </xf>
    <xf numFmtId="0" fontId="138" fillId="2" borderId="52" xfId="0" applyFont="1" applyFill="1" applyBorder="1" applyAlignment="1">
      <alignment horizontal="center" vertical="center"/>
    </xf>
    <xf numFmtId="0" fontId="138" fillId="2" borderId="52" xfId="0" applyFont="1" applyFill="1" applyBorder="1" applyAlignment="1">
      <alignment horizontal="center" vertical="center" wrapText="1"/>
    </xf>
    <xf numFmtId="0" fontId="139" fillId="21" borderId="52" xfId="0" applyFont="1" applyFill="1" applyBorder="1" applyAlignment="1">
      <alignment horizontal="center" vertical="center" wrapText="1"/>
    </xf>
    <xf numFmtId="0" fontId="138" fillId="4" borderId="52" xfId="0" applyFont="1" applyFill="1" applyBorder="1" applyAlignment="1">
      <alignment horizontal="center" vertical="center" wrapText="1"/>
    </xf>
    <xf numFmtId="0" fontId="138" fillId="4" borderId="52" xfId="0" applyFont="1" applyFill="1" applyBorder="1" applyAlignment="1">
      <alignment horizontal="center" vertical="center"/>
    </xf>
    <xf numFmtId="0" fontId="140" fillId="2" borderId="90" xfId="0" applyFont="1" applyFill="1" applyBorder="1" applyAlignment="1">
      <alignment horizontal="center" vertical="center" wrapText="1"/>
    </xf>
    <xf numFmtId="165" fontId="3" fillId="4" borderId="36" xfId="13" applyNumberFormat="1" applyFont="1" applyFill="1" applyBorder="1" applyAlignment="1">
      <alignment horizontal="center"/>
    </xf>
    <xf numFmtId="165" fontId="3" fillId="4" borderId="1" xfId="13" applyNumberFormat="1" applyFont="1" applyFill="1" applyBorder="1" applyAlignment="1">
      <alignment horizontal="center"/>
    </xf>
    <xf numFmtId="165" fontId="3" fillId="4" borderId="17" xfId="13" applyNumberFormat="1" applyFont="1" applyFill="1" applyBorder="1" applyAlignment="1">
      <alignment horizontal="center"/>
    </xf>
    <xf numFmtId="0" fontId="2" fillId="50" borderId="17" xfId="0" applyFont="1" applyFill="1" applyBorder="1" applyAlignment="1">
      <alignment horizontal="center"/>
    </xf>
    <xf numFmtId="1" fontId="54" fillId="47" borderId="36" xfId="246" applyNumberFormat="1" applyFont="1" applyFill="1" applyBorder="1" applyAlignment="1">
      <alignment horizontal="center"/>
    </xf>
    <xf numFmtId="1" fontId="54" fillId="47" borderId="17" xfId="246" applyNumberFormat="1" applyFont="1" applyFill="1" applyBorder="1" applyAlignment="1">
      <alignment horizontal="center"/>
    </xf>
    <xf numFmtId="165" fontId="54" fillId="47" borderId="36" xfId="246" applyNumberFormat="1" applyFont="1" applyFill="1" applyBorder="1" applyAlignment="1">
      <alignment horizontal="center" vertical="center"/>
    </xf>
    <xf numFmtId="165" fontId="54" fillId="47" borderId="1" xfId="246" applyNumberFormat="1" applyFont="1" applyFill="1" applyBorder="1" applyAlignment="1">
      <alignment horizontal="center" vertical="center"/>
    </xf>
    <xf numFmtId="0" fontId="69" fillId="20" borderId="4" xfId="0" applyFont="1" applyFill="1" applyBorder="1" applyAlignment="1">
      <alignment horizontal="center" vertical="center"/>
    </xf>
    <xf numFmtId="165" fontId="121" fillId="4" borderId="1" xfId="246" applyNumberFormat="1" applyFont="1" applyFill="1" applyBorder="1" applyAlignment="1">
      <alignment horizontal="center"/>
    </xf>
    <xf numFmtId="165" fontId="121" fillId="4" borderId="17" xfId="246" applyNumberFormat="1" applyFont="1" applyFill="1" applyBorder="1" applyAlignment="1">
      <alignment horizontal="center"/>
    </xf>
    <xf numFmtId="0" fontId="0" fillId="0" borderId="35" xfId="0" applyBorder="1"/>
    <xf numFmtId="0" fontId="0" fillId="3" borderId="2" xfId="0" applyFill="1" applyBorder="1" applyAlignment="1">
      <alignment horizontal="center"/>
    </xf>
    <xf numFmtId="0" fontId="2" fillId="50" borderId="2" xfId="0" applyFont="1" applyFill="1" applyBorder="1" applyAlignment="1">
      <alignment horizontal="center"/>
    </xf>
    <xf numFmtId="0" fontId="130" fillId="3" borderId="2" xfId="0" applyFont="1" applyFill="1" applyBorder="1" applyAlignment="1">
      <alignment horizontal="center" vertical="center"/>
    </xf>
    <xf numFmtId="165" fontId="4" fillId="47" borderId="1" xfId="246" applyNumberFormat="1" applyFont="1" applyFill="1" applyBorder="1" applyAlignment="1">
      <alignment horizontal="center" vertical="center"/>
    </xf>
    <xf numFmtId="0" fontId="0" fillId="0" borderId="2" xfId="0" applyBorder="1"/>
    <xf numFmtId="165" fontId="4" fillId="47" borderId="36" xfId="246" applyNumberFormat="1" applyFont="1" applyFill="1" applyBorder="1" applyAlignment="1">
      <alignment horizontal="center" vertical="center"/>
    </xf>
    <xf numFmtId="0" fontId="2" fillId="12" borderId="36" xfId="0" applyFont="1" applyFill="1" applyBorder="1" applyAlignment="1">
      <alignment horizontal="center"/>
    </xf>
    <xf numFmtId="165" fontId="4" fillId="47" borderId="17" xfId="246" applyNumberFormat="1" applyFont="1" applyFill="1" applyBorder="1" applyAlignment="1">
      <alignment horizontal="center" vertical="center"/>
    </xf>
    <xf numFmtId="0" fontId="2" fillId="51" borderId="1" xfId="0" applyFont="1" applyFill="1" applyBorder="1" applyAlignment="1">
      <alignment horizontal="center" vertical="center"/>
    </xf>
    <xf numFmtId="0" fontId="24" fillId="21" borderId="0" xfId="1" applyFont="1" applyFill="1" applyBorder="1" applyAlignment="1"/>
    <xf numFmtId="0" fontId="25" fillId="0" borderId="0" xfId="1" applyFont="1" applyBorder="1" applyAlignment="1">
      <alignment horizontal="center"/>
    </xf>
    <xf numFmtId="1" fontId="48" fillId="3" borderId="0" xfId="0" applyNumberFormat="1" applyFont="1" applyFill="1" applyAlignment="1">
      <alignment horizontal="center" vertical="center"/>
    </xf>
    <xf numFmtId="0" fontId="4" fillId="4" borderId="0" xfId="0" applyFont="1" applyFill="1" applyAlignment="1">
      <alignment horizontal="center"/>
    </xf>
    <xf numFmtId="165" fontId="4" fillId="4" borderId="0" xfId="0" applyNumberFormat="1" applyFont="1" applyFill="1" applyAlignment="1">
      <alignment horizontal="center"/>
    </xf>
    <xf numFmtId="1" fontId="66" fillId="28" borderId="0" xfId="2" applyNumberFormat="1" applyFont="1" applyFill="1" applyBorder="1" applyAlignment="1">
      <alignment horizontal="left" vertical="center"/>
    </xf>
    <xf numFmtId="2" fontId="66" fillId="15" borderId="0" xfId="2" applyNumberFormat="1" applyFont="1" applyFill="1" applyBorder="1" applyAlignment="1">
      <alignment horizontal="center" vertical="center"/>
    </xf>
    <xf numFmtId="1" fontId="66" fillId="28" borderId="0" xfId="2" applyNumberFormat="1" applyFont="1" applyFill="1" applyBorder="1" applyAlignment="1">
      <alignment horizontal="center"/>
    </xf>
    <xf numFmtId="1" fontId="66" fillId="15" borderId="0" xfId="2" applyNumberFormat="1" applyFont="1" applyFill="1" applyBorder="1" applyAlignment="1">
      <alignment horizontal="center" vertical="center"/>
    </xf>
    <xf numFmtId="1" fontId="26" fillId="0" borderId="0" xfId="3" applyNumberFormat="1" applyFont="1" applyBorder="1">
      <alignment horizontal="center" vertical="center"/>
    </xf>
    <xf numFmtId="167" fontId="26" fillId="0" borderId="0" xfId="3" applyNumberFormat="1" applyFont="1" applyBorder="1">
      <alignment horizontal="center" vertical="center"/>
    </xf>
    <xf numFmtId="0" fontId="28" fillId="15" borderId="0" xfId="0" applyFont="1" applyFill="1" applyAlignment="1">
      <alignment horizontal="center"/>
    </xf>
    <xf numFmtId="0" fontId="143" fillId="0" borderId="0" xfId="0" applyFont="1" applyAlignment="1">
      <alignment vertical="center"/>
    </xf>
    <xf numFmtId="0" fontId="4" fillId="2" borderId="2" xfId="0" applyFont="1" applyFill="1" applyBorder="1" applyAlignment="1">
      <alignment horizontal="center" vertical="center"/>
    </xf>
    <xf numFmtId="0" fontId="0" fillId="3" borderId="91" xfId="0" applyFill="1" applyBorder="1" applyAlignment="1">
      <alignment horizontal="center" vertical="center"/>
    </xf>
    <xf numFmtId="0" fontId="2" fillId="6" borderId="41" xfId="0" applyFont="1" applyFill="1" applyBorder="1" applyAlignment="1">
      <alignment horizontal="center"/>
    </xf>
    <xf numFmtId="0" fontId="0" fillId="3" borderId="3" xfId="0" applyFill="1" applyBorder="1" applyAlignment="1">
      <alignment horizontal="center" vertical="center"/>
    </xf>
    <xf numFmtId="0" fontId="2" fillId="46" borderId="29" xfId="0" applyFont="1" applyFill="1" applyBorder="1" applyAlignment="1">
      <alignment horizontal="center"/>
    </xf>
    <xf numFmtId="0" fontId="0" fillId="3" borderId="3" xfId="0" applyFill="1" applyBorder="1" applyAlignment="1">
      <alignment horizontal="center"/>
    </xf>
    <xf numFmtId="0" fontId="2" fillId="48" borderId="29" xfId="0" applyFont="1" applyFill="1" applyBorder="1" applyAlignment="1">
      <alignment horizontal="center"/>
    </xf>
    <xf numFmtId="0" fontId="2" fillId="6" borderId="29" xfId="0" applyFont="1" applyFill="1" applyBorder="1" applyAlignment="1">
      <alignment horizontal="center"/>
    </xf>
    <xf numFmtId="0" fontId="0" fillId="3" borderId="92" xfId="0" applyFill="1" applyBorder="1" applyAlignment="1">
      <alignment horizontal="center"/>
    </xf>
    <xf numFmtId="0" fontId="69" fillId="20" borderId="93" xfId="0" applyFont="1" applyFill="1" applyBorder="1" applyAlignment="1">
      <alignment horizontal="center" vertical="center"/>
    </xf>
    <xf numFmtId="0" fontId="2" fillId="50" borderId="24" xfId="0" applyFont="1" applyFill="1" applyBorder="1" applyAlignment="1">
      <alignment horizontal="center"/>
    </xf>
    <xf numFmtId="0" fontId="0" fillId="0" borderId="41" xfId="0" applyBorder="1"/>
    <xf numFmtId="0" fontId="0" fillId="0" borderId="29" xfId="0" applyBorder="1"/>
    <xf numFmtId="0" fontId="2" fillId="51" borderId="29" xfId="0" applyFont="1" applyFill="1" applyBorder="1" applyAlignment="1">
      <alignment horizontal="center" vertical="center"/>
    </xf>
    <xf numFmtId="0" fontId="2" fillId="12" borderId="41" xfId="0" applyFont="1" applyFill="1" applyBorder="1" applyAlignment="1">
      <alignment horizontal="center"/>
    </xf>
    <xf numFmtId="0" fontId="2" fillId="18" borderId="29" xfId="0" applyFont="1" applyFill="1" applyBorder="1" applyAlignment="1">
      <alignment horizontal="center"/>
    </xf>
    <xf numFmtId="0" fontId="142" fillId="0" borderId="23" xfId="0" applyFont="1" applyBorder="1"/>
    <xf numFmtId="0" fontId="2" fillId="13" borderId="17" xfId="0" applyFont="1" applyFill="1" applyBorder="1" applyAlignment="1">
      <alignment horizontal="center"/>
    </xf>
    <xf numFmtId="0" fontId="2" fillId="13" borderId="24" xfId="0" applyFont="1" applyFill="1" applyBorder="1" applyAlignment="1">
      <alignment horizontal="center"/>
    </xf>
    <xf numFmtId="0" fontId="63" fillId="0" borderId="0" xfId="0" applyFont="1" applyAlignment="1">
      <alignment vertical="center"/>
    </xf>
    <xf numFmtId="0" fontId="2" fillId="48" borderId="41" xfId="0" applyFont="1" applyFill="1" applyBorder="1" applyAlignment="1">
      <alignment horizontal="center"/>
    </xf>
    <xf numFmtId="0" fontId="2" fillId="6" borderId="24" xfId="0" applyFont="1" applyFill="1" applyBorder="1" applyAlignment="1">
      <alignment horizontal="center"/>
    </xf>
    <xf numFmtId="0" fontId="141" fillId="47" borderId="36" xfId="246" applyNumberFormat="1" applyFont="1" applyFill="1" applyBorder="1" applyAlignment="1">
      <alignment horizontal="center"/>
    </xf>
    <xf numFmtId="0" fontId="0" fillId="3" borderId="91" xfId="0" applyFill="1" applyBorder="1" applyAlignment="1">
      <alignment horizontal="center"/>
    </xf>
    <xf numFmtId="0" fontId="2" fillId="13" borderId="35" xfId="0" applyFont="1" applyFill="1" applyBorder="1" applyAlignment="1">
      <alignment horizontal="center"/>
    </xf>
    <xf numFmtId="0" fontId="2" fillId="13" borderId="36" xfId="0" applyFont="1" applyFill="1" applyBorder="1" applyAlignment="1">
      <alignment horizontal="center"/>
    </xf>
    <xf numFmtId="0" fontId="129" fillId="0" borderId="23" xfId="0" applyFont="1" applyBorder="1"/>
    <xf numFmtId="0" fontId="130" fillId="45" borderId="17" xfId="0" applyFont="1" applyFill="1" applyBorder="1" applyAlignment="1">
      <alignment horizontal="center"/>
    </xf>
    <xf numFmtId="0" fontId="0" fillId="0" borderId="23" xfId="0" applyBorder="1"/>
    <xf numFmtId="0" fontId="0" fillId="0" borderId="24" xfId="0" applyBorder="1"/>
    <xf numFmtId="0" fontId="2" fillId="18" borderId="36" xfId="0" applyFont="1" applyFill="1" applyBorder="1" applyAlignment="1">
      <alignment horizontal="center"/>
    </xf>
    <xf numFmtId="0" fontId="2" fillId="18" borderId="17" xfId="0" applyFont="1" applyFill="1" applyBorder="1" applyAlignment="1">
      <alignment horizontal="center"/>
    </xf>
    <xf numFmtId="0" fontId="2" fillId="18" borderId="24" xfId="0" applyFont="1" applyFill="1" applyBorder="1" applyAlignment="1">
      <alignment horizontal="center"/>
    </xf>
    <xf numFmtId="0" fontId="128" fillId="3" borderId="30" xfId="0" applyFont="1" applyFill="1" applyBorder="1"/>
    <xf numFmtId="0" fontId="130" fillId="3" borderId="2" xfId="0" applyFont="1" applyFill="1" applyBorder="1" applyAlignment="1">
      <alignment horizontal="center"/>
    </xf>
    <xf numFmtId="0" fontId="130" fillId="45" borderId="2" xfId="0" applyFont="1" applyFill="1" applyBorder="1" applyAlignment="1">
      <alignment horizontal="center" vertical="center"/>
    </xf>
    <xf numFmtId="1" fontId="131" fillId="45" borderId="2" xfId="0" applyNumberFormat="1" applyFont="1" applyFill="1" applyBorder="1" applyAlignment="1">
      <alignment horizontal="center" vertical="center"/>
    </xf>
    <xf numFmtId="0" fontId="54" fillId="4" borderId="2" xfId="246" applyNumberFormat="1" applyFont="1" applyFill="1" applyBorder="1" applyAlignment="1">
      <alignment horizontal="center"/>
    </xf>
    <xf numFmtId="165" fontId="54" fillId="47" borderId="2" xfId="246" applyNumberFormat="1" applyFont="1" applyFill="1" applyBorder="1" applyAlignment="1">
      <alignment horizontal="center" vertical="center"/>
    </xf>
    <xf numFmtId="0" fontId="2" fillId="50" borderId="31" xfId="0" applyFont="1" applyFill="1" applyBorder="1" applyAlignment="1">
      <alignment horizontal="center"/>
    </xf>
    <xf numFmtId="0" fontId="130" fillId="3" borderId="36" xfId="0" applyFont="1" applyFill="1" applyBorder="1" applyAlignment="1">
      <alignment horizontal="center"/>
    </xf>
    <xf numFmtId="165" fontId="121" fillId="4" borderId="36" xfId="246" applyNumberFormat="1" applyFont="1" applyFill="1" applyBorder="1" applyAlignment="1">
      <alignment horizontal="center"/>
    </xf>
    <xf numFmtId="0" fontId="3" fillId="2" borderId="55" xfId="0" applyFont="1" applyFill="1" applyBorder="1" applyAlignment="1">
      <alignment horizontal="center"/>
    </xf>
    <xf numFmtId="0" fontId="3" fillId="2" borderId="59" xfId="0" applyFont="1" applyFill="1" applyBorder="1" applyAlignment="1">
      <alignment horizontal="center"/>
    </xf>
    <xf numFmtId="0" fontId="4" fillId="2" borderId="59" xfId="0" applyFont="1" applyFill="1" applyBorder="1" applyAlignment="1">
      <alignment horizontal="center"/>
    </xf>
    <xf numFmtId="49" fontId="46" fillId="0" borderId="0" xfId="0" applyNumberFormat="1" applyFont="1"/>
    <xf numFmtId="0" fontId="134" fillId="0" borderId="0" xfId="245" quotePrefix="1"/>
    <xf numFmtId="0" fontId="134" fillId="0" borderId="1" xfId="245" applyBorder="1"/>
    <xf numFmtId="0" fontId="134" fillId="0" borderId="0" xfId="245" applyAlignment="1">
      <alignment horizontal="left" vertical="center"/>
    </xf>
    <xf numFmtId="0" fontId="134" fillId="0" borderId="1" xfId="245" quotePrefix="1" applyBorder="1"/>
    <xf numFmtId="0" fontId="0" fillId="52" borderId="1" xfId="0" applyFill="1" applyBorder="1"/>
    <xf numFmtId="0" fontId="24" fillId="3" borderId="45" xfId="1" applyFont="1" applyFill="1" applyBorder="1" applyAlignment="1"/>
    <xf numFmtId="0" fontId="144" fillId="53" borderId="1" xfId="0" applyFont="1" applyFill="1" applyBorder="1" applyAlignment="1">
      <alignment wrapText="1"/>
    </xf>
    <xf numFmtId="0" fontId="145" fillId="53" borderId="40" xfId="0" applyFont="1" applyFill="1" applyBorder="1" applyAlignment="1">
      <alignment wrapText="1"/>
    </xf>
    <xf numFmtId="0" fontId="146" fillId="54" borderId="4" xfId="0" applyFont="1" applyFill="1" applyBorder="1" applyAlignment="1">
      <alignment wrapText="1"/>
    </xf>
    <xf numFmtId="0" fontId="147" fillId="54" borderId="12" xfId="0" applyFont="1" applyFill="1" applyBorder="1" applyAlignment="1">
      <alignment wrapText="1"/>
    </xf>
    <xf numFmtId="0" fontId="148" fillId="54" borderId="12" xfId="0" applyFont="1" applyFill="1" applyBorder="1" applyAlignment="1">
      <alignment wrapText="1"/>
    </xf>
    <xf numFmtId="0" fontId="146" fillId="54" borderId="12" xfId="0" applyFont="1" applyFill="1" applyBorder="1"/>
    <xf numFmtId="0" fontId="149" fillId="54" borderId="12" xfId="0" applyFont="1" applyFill="1" applyBorder="1"/>
    <xf numFmtId="0" fontId="150" fillId="54" borderId="12" xfId="0" applyFont="1" applyFill="1" applyBorder="1"/>
    <xf numFmtId="0" fontId="146" fillId="55" borderId="4" xfId="0" applyFont="1" applyFill="1" applyBorder="1" applyAlignment="1">
      <alignment wrapText="1"/>
    </xf>
    <xf numFmtId="0" fontId="147" fillId="55" borderId="12" xfId="0" applyFont="1" applyFill="1" applyBorder="1" applyAlignment="1">
      <alignment wrapText="1"/>
    </xf>
    <xf numFmtId="0" fontId="148" fillId="55" borderId="12" xfId="0" applyFont="1" applyFill="1" applyBorder="1" applyAlignment="1">
      <alignment wrapText="1"/>
    </xf>
    <xf numFmtId="0" fontId="146" fillId="55" borderId="12" xfId="0" applyFont="1" applyFill="1" applyBorder="1"/>
    <xf numFmtId="0" fontId="149" fillId="0" borderId="12" xfId="0" applyFont="1" applyBorder="1"/>
    <xf numFmtId="0" fontId="146" fillId="56" borderId="4" xfId="0" applyFont="1" applyFill="1" applyBorder="1" applyAlignment="1">
      <alignment wrapText="1"/>
    </xf>
    <xf numFmtId="0" fontId="147" fillId="56" borderId="12" xfId="0" applyFont="1" applyFill="1" applyBorder="1" applyAlignment="1">
      <alignment wrapText="1"/>
    </xf>
    <xf numFmtId="0" fontId="148" fillId="56" borderId="12" xfId="0" applyFont="1" applyFill="1" applyBorder="1" applyAlignment="1">
      <alignment wrapText="1"/>
    </xf>
    <xf numFmtId="0" fontId="146" fillId="56" borderId="12" xfId="0" applyFont="1" applyFill="1" applyBorder="1"/>
    <xf numFmtId="0" fontId="149" fillId="56" borderId="12" xfId="0" applyFont="1" applyFill="1" applyBorder="1"/>
    <xf numFmtId="0" fontId="146" fillId="57" borderId="4" xfId="0" applyFont="1" applyFill="1" applyBorder="1" applyAlignment="1">
      <alignment wrapText="1"/>
    </xf>
    <xf numFmtId="0" fontId="147" fillId="57" borderId="12" xfId="0" applyFont="1" applyFill="1" applyBorder="1" applyAlignment="1">
      <alignment wrapText="1"/>
    </xf>
    <xf numFmtId="0" fontId="148" fillId="57" borderId="12" xfId="0" applyFont="1" applyFill="1" applyBorder="1" applyAlignment="1">
      <alignment wrapText="1"/>
    </xf>
    <xf numFmtId="0" fontId="146" fillId="57" borderId="12" xfId="0" applyFont="1" applyFill="1" applyBorder="1"/>
    <xf numFmtId="0" fontId="149" fillId="57" borderId="12" xfId="0" applyFont="1" applyFill="1" applyBorder="1"/>
    <xf numFmtId="0" fontId="146" fillId="58" borderId="4" xfId="0" applyFont="1" applyFill="1" applyBorder="1" applyAlignment="1">
      <alignment wrapText="1"/>
    </xf>
    <xf numFmtId="0" fontId="146" fillId="58" borderId="12" xfId="0" applyFont="1" applyFill="1" applyBorder="1" applyAlignment="1">
      <alignment wrapText="1"/>
    </xf>
    <xf numFmtId="0" fontId="150" fillId="58" borderId="12" xfId="0" applyFont="1" applyFill="1" applyBorder="1" applyAlignment="1">
      <alignment wrapText="1"/>
    </xf>
    <xf numFmtId="0" fontId="146" fillId="58" borderId="12" xfId="0" applyFont="1" applyFill="1" applyBorder="1"/>
    <xf numFmtId="0" fontId="149" fillId="58" borderId="12" xfId="0" applyFont="1" applyFill="1" applyBorder="1"/>
    <xf numFmtId="0" fontId="150" fillId="57" borderId="12" xfId="0" applyFont="1" applyFill="1" applyBorder="1" applyAlignment="1">
      <alignment wrapText="1"/>
    </xf>
    <xf numFmtId="0" fontId="146" fillId="57" borderId="12" xfId="0" applyFont="1" applyFill="1" applyBorder="1" applyAlignment="1">
      <alignment wrapText="1"/>
    </xf>
    <xf numFmtId="0" fontId="147" fillId="58" borderId="12" xfId="0" applyFont="1" applyFill="1" applyBorder="1" applyAlignment="1">
      <alignment wrapText="1"/>
    </xf>
    <xf numFmtId="0" fontId="148" fillId="58" borderId="12" xfId="0" applyFont="1" applyFill="1" applyBorder="1" applyAlignment="1">
      <alignment wrapText="1"/>
    </xf>
    <xf numFmtId="0" fontId="146" fillId="59" borderId="4" xfId="0" applyFont="1" applyFill="1" applyBorder="1" applyAlignment="1">
      <alignment wrapText="1"/>
    </xf>
    <xf numFmtId="0" fontId="147" fillId="59" borderId="12" xfId="0" applyFont="1" applyFill="1" applyBorder="1" applyAlignment="1">
      <alignment wrapText="1"/>
    </xf>
    <xf numFmtId="0" fontId="148" fillId="59" borderId="12" xfId="0" applyFont="1" applyFill="1" applyBorder="1" applyAlignment="1">
      <alignment wrapText="1"/>
    </xf>
    <xf numFmtId="0" fontId="146" fillId="59" borderId="12" xfId="0" applyFont="1" applyFill="1" applyBorder="1"/>
    <xf numFmtId="0" fontId="149" fillId="59" borderId="12" xfId="0" applyFont="1" applyFill="1" applyBorder="1"/>
    <xf numFmtId="0" fontId="146" fillId="54" borderId="4" xfId="0" applyFont="1" applyFill="1" applyBorder="1"/>
    <xf numFmtId="0" fontId="146" fillId="54" borderId="12" xfId="0" applyFont="1" applyFill="1" applyBorder="1" applyAlignment="1">
      <alignment wrapText="1"/>
    </xf>
    <xf numFmtId="0" fontId="146" fillId="58" borderId="4" xfId="0" applyFont="1" applyFill="1" applyBorder="1"/>
    <xf numFmtId="0" fontId="150" fillId="54" borderId="12" xfId="0" applyFont="1" applyFill="1" applyBorder="1" applyAlignment="1">
      <alignment wrapText="1"/>
    </xf>
    <xf numFmtId="0" fontId="146" fillId="55" borderId="4" xfId="0" applyFont="1" applyFill="1" applyBorder="1"/>
    <xf numFmtId="0" fontId="149" fillId="55" borderId="12" xfId="0" applyFont="1" applyFill="1" applyBorder="1"/>
    <xf numFmtId="0" fontId="146" fillId="55" borderId="12" xfId="0" applyFont="1" applyFill="1" applyBorder="1" applyAlignment="1">
      <alignment wrapText="1"/>
    </xf>
    <xf numFmtId="0" fontId="150" fillId="55" borderId="12" xfId="0" applyFont="1" applyFill="1" applyBorder="1" applyAlignment="1">
      <alignment wrapText="1"/>
    </xf>
    <xf numFmtId="0" fontId="146" fillId="60" borderId="4" xfId="0" applyFont="1" applyFill="1" applyBorder="1"/>
    <xf numFmtId="0" fontId="147" fillId="60" borderId="12" xfId="0" applyFont="1" applyFill="1" applyBorder="1" applyAlignment="1">
      <alignment wrapText="1"/>
    </xf>
    <xf numFmtId="0" fontId="148" fillId="60" borderId="12" xfId="0" applyFont="1" applyFill="1" applyBorder="1" applyAlignment="1">
      <alignment wrapText="1"/>
    </xf>
    <xf numFmtId="0" fontId="146" fillId="60" borderId="12" xfId="0" applyFont="1" applyFill="1" applyBorder="1"/>
    <xf numFmtId="0" fontId="149" fillId="60" borderId="12" xfId="0" applyFont="1" applyFill="1" applyBorder="1"/>
    <xf numFmtId="0" fontId="150" fillId="60" borderId="12" xfId="0" applyFont="1" applyFill="1" applyBorder="1"/>
    <xf numFmtId="0" fontId="150" fillId="60" borderId="12" xfId="0" applyFont="1" applyFill="1" applyBorder="1" applyAlignment="1">
      <alignment wrapText="1"/>
    </xf>
    <xf numFmtId="0" fontId="146" fillId="60" borderId="12" xfId="0" applyFont="1" applyFill="1" applyBorder="1" applyAlignment="1">
      <alignment wrapText="1"/>
    </xf>
    <xf numFmtId="0" fontId="146" fillId="29" borderId="4" xfId="0" applyFont="1" applyFill="1" applyBorder="1"/>
    <xf numFmtId="0" fontId="146" fillId="29" borderId="12" xfId="0" applyFont="1" applyFill="1" applyBorder="1" applyAlignment="1">
      <alignment wrapText="1"/>
    </xf>
    <xf numFmtId="0" fontId="150" fillId="29" borderId="12" xfId="0" applyFont="1" applyFill="1" applyBorder="1" applyAlignment="1">
      <alignment wrapText="1"/>
    </xf>
    <xf numFmtId="0" fontId="146" fillId="29" borderId="12" xfId="0" applyFont="1" applyFill="1" applyBorder="1"/>
    <xf numFmtId="0" fontId="149" fillId="29" borderId="12" xfId="0" applyFont="1" applyFill="1" applyBorder="1"/>
    <xf numFmtId="0" fontId="150" fillId="29" borderId="12" xfId="0" applyFont="1" applyFill="1" applyBorder="1"/>
    <xf numFmtId="0" fontId="146" fillId="0" borderId="4" xfId="0" applyFont="1" applyBorder="1"/>
    <xf numFmtId="0" fontId="146" fillId="0" borderId="12" xfId="0" applyFont="1" applyBorder="1" applyAlignment="1">
      <alignment wrapText="1"/>
    </xf>
    <xf numFmtId="0" fontId="150" fillId="0" borderId="12" xfId="0" applyFont="1" applyBorder="1" applyAlignment="1">
      <alignment wrapText="1"/>
    </xf>
    <xf numFmtId="0" fontId="146" fillId="0" borderId="12" xfId="0" applyFont="1" applyBorder="1"/>
    <xf numFmtId="0" fontId="146" fillId="61" borderId="4" xfId="0" applyFont="1" applyFill="1" applyBorder="1"/>
    <xf numFmtId="0" fontId="146" fillId="61" borderId="12" xfId="0" applyFont="1" applyFill="1" applyBorder="1" applyAlignment="1">
      <alignment wrapText="1"/>
    </xf>
    <xf numFmtId="0" fontId="150" fillId="61" borderId="12" xfId="0" applyFont="1" applyFill="1" applyBorder="1"/>
    <xf numFmtId="0" fontId="146" fillId="61" borderId="12" xfId="0" applyFont="1" applyFill="1" applyBorder="1"/>
    <xf numFmtId="0" fontId="149" fillId="61" borderId="12" xfId="0" applyFont="1" applyFill="1" applyBorder="1"/>
    <xf numFmtId="0" fontId="146" fillId="61" borderId="12" xfId="0" quotePrefix="1" applyFont="1" applyFill="1" applyBorder="1" applyAlignment="1">
      <alignment wrapText="1"/>
    </xf>
    <xf numFmtId="0" fontId="150" fillId="61" borderId="12" xfId="0" applyFont="1" applyFill="1" applyBorder="1" applyAlignment="1">
      <alignment wrapText="1"/>
    </xf>
    <xf numFmtId="0" fontId="151" fillId="62" borderId="1" xfId="0" applyFont="1" applyFill="1" applyBorder="1" applyAlignment="1">
      <alignment wrapText="1"/>
    </xf>
    <xf numFmtId="0" fontId="146" fillId="63" borderId="4" xfId="0" applyFont="1" applyFill="1" applyBorder="1"/>
    <xf numFmtId="0" fontId="150" fillId="63" borderId="12" xfId="0" applyFont="1" applyFill="1" applyBorder="1"/>
    <xf numFmtId="0" fontId="146" fillId="63" borderId="12" xfId="0" applyFont="1" applyFill="1" applyBorder="1"/>
    <xf numFmtId="0" fontId="149" fillId="63" borderId="12" xfId="0" applyFont="1" applyFill="1" applyBorder="1"/>
    <xf numFmtId="0" fontId="147" fillId="63" borderId="12" xfId="0" applyFont="1" applyFill="1" applyBorder="1" applyAlignment="1">
      <alignment wrapText="1"/>
    </xf>
    <xf numFmtId="0" fontId="148" fillId="63" borderId="12" xfId="0" applyFont="1" applyFill="1" applyBorder="1" applyAlignment="1">
      <alignment wrapText="1"/>
    </xf>
    <xf numFmtId="0" fontId="146" fillId="63" borderId="12" xfId="0" applyFont="1" applyFill="1" applyBorder="1" applyAlignment="1">
      <alignment wrapText="1"/>
    </xf>
    <xf numFmtId="0" fontId="147" fillId="0" borderId="12" xfId="0" applyFont="1" applyBorder="1" applyAlignment="1">
      <alignment wrapText="1"/>
    </xf>
    <xf numFmtId="0" fontId="150" fillId="0" borderId="12" xfId="0" applyFont="1" applyBorder="1"/>
    <xf numFmtId="0" fontId="152" fillId="34" borderId="12" xfId="0" applyFont="1" applyFill="1" applyBorder="1"/>
    <xf numFmtId="0" fontId="146" fillId="56" borderId="4" xfId="0" applyFont="1" applyFill="1" applyBorder="1"/>
    <xf numFmtId="0" fontId="146" fillId="56" borderId="12" xfId="0" applyFont="1" applyFill="1" applyBorder="1" applyAlignment="1">
      <alignment wrapText="1"/>
    </xf>
    <xf numFmtId="0" fontId="150" fillId="56" borderId="12" xfId="0" applyFont="1" applyFill="1" applyBorder="1" applyAlignment="1">
      <alignment wrapText="1"/>
    </xf>
    <xf numFmtId="0" fontId="80" fillId="0" borderId="0" xfId="1" applyFont="1" applyFill="1" applyAlignment="1">
      <alignment horizontal="center" vertical="center" wrapText="1"/>
    </xf>
    <xf numFmtId="49" fontId="79" fillId="0" borderId="0" xfId="1" applyNumberFormat="1" applyFont="1" applyFill="1" applyAlignment="1">
      <alignment horizontal="center" vertical="center" wrapText="1"/>
    </xf>
    <xf numFmtId="1" fontId="79" fillId="0" borderId="0" xfId="1" applyNumberFormat="1" applyFont="1" applyFill="1" applyAlignment="1">
      <alignment horizontal="center" vertical="center" wrapText="1"/>
    </xf>
    <xf numFmtId="1" fontId="80" fillId="0" borderId="0" xfId="1" applyNumberFormat="1" applyFont="1" applyFill="1" applyAlignment="1">
      <alignment horizontal="center" vertical="center" wrapText="1"/>
    </xf>
    <xf numFmtId="49" fontId="80" fillId="0" borderId="0" xfId="1" applyNumberFormat="1" applyFont="1" applyFill="1" applyAlignment="1">
      <alignment horizontal="center" vertical="center" wrapText="1"/>
    </xf>
    <xf numFmtId="0" fontId="24" fillId="3" borderId="45" xfId="1" applyFont="1" applyFill="1" applyBorder="1" applyAlignment="1" applyProtection="1"/>
    <xf numFmtId="0" fontId="24" fillId="3" borderId="0" xfId="1" applyFont="1" applyFill="1" applyBorder="1" applyAlignment="1"/>
    <xf numFmtId="0" fontId="153" fillId="24" borderId="45" xfId="1" applyFont="1" applyFill="1" applyBorder="1" applyAlignment="1" applyProtection="1"/>
    <xf numFmtId="0" fontId="154" fillId="24" borderId="0" xfId="1" applyFont="1" applyFill="1" applyAlignment="1">
      <alignment horizontal="center" vertical="center" wrapText="1"/>
    </xf>
    <xf numFmtId="49" fontId="155" fillId="24" borderId="0" xfId="1" applyNumberFormat="1" applyFont="1" applyFill="1" applyAlignment="1">
      <alignment horizontal="center" vertical="center" wrapText="1"/>
    </xf>
    <xf numFmtId="1" fontId="155" fillId="24" borderId="0" xfId="1" applyNumberFormat="1" applyFont="1" applyFill="1" applyAlignment="1">
      <alignment horizontal="center" vertical="center" wrapText="1"/>
    </xf>
    <xf numFmtId="1" fontId="154" fillId="24" borderId="0" xfId="1" applyNumberFormat="1" applyFont="1" applyFill="1" applyAlignment="1">
      <alignment horizontal="center" vertical="center" wrapText="1"/>
    </xf>
    <xf numFmtId="49" fontId="154" fillId="24" borderId="0" xfId="1" applyNumberFormat="1" applyFont="1" applyFill="1" applyAlignment="1">
      <alignment horizontal="center" vertical="center" wrapText="1"/>
    </xf>
    <xf numFmtId="0" fontId="24" fillId="3" borderId="94" xfId="1" applyFont="1" applyFill="1" applyBorder="1" applyAlignment="1" applyProtection="1"/>
    <xf numFmtId="0" fontId="24" fillId="4" borderId="45" xfId="1" applyFont="1" applyFill="1" applyBorder="1" applyAlignment="1" applyProtection="1"/>
    <xf numFmtId="0" fontId="80" fillId="4" borderId="0" xfId="1" applyFont="1" applyFill="1" applyBorder="1" applyAlignment="1">
      <alignment horizontal="center" vertical="center" wrapText="1"/>
    </xf>
    <xf numFmtId="49" fontId="79" fillId="4" borderId="0" xfId="1" applyNumberFormat="1" applyFont="1" applyFill="1" applyBorder="1" applyAlignment="1">
      <alignment horizontal="center" vertical="center" wrapText="1"/>
    </xf>
    <xf numFmtId="1" fontId="79" fillId="4" borderId="0" xfId="1" applyNumberFormat="1" applyFont="1" applyFill="1" applyBorder="1" applyAlignment="1">
      <alignment horizontal="center" vertical="center" wrapText="1"/>
    </xf>
    <xf numFmtId="1" fontId="80" fillId="4" borderId="0" xfId="1" applyNumberFormat="1" applyFont="1" applyFill="1" applyBorder="1" applyAlignment="1">
      <alignment horizontal="center" vertical="center" wrapText="1"/>
    </xf>
    <xf numFmtId="49" fontId="80" fillId="4" borderId="0" xfId="1" applyNumberFormat="1" applyFont="1" applyFill="1" applyBorder="1" applyAlignment="1">
      <alignment horizontal="center" vertical="center" wrapText="1"/>
    </xf>
    <xf numFmtId="0" fontId="15" fillId="0" borderId="21" xfId="0" applyFont="1" applyBorder="1"/>
    <xf numFmtId="0" fontId="3" fillId="0" borderId="21" xfId="0" applyFont="1" applyBorder="1"/>
    <xf numFmtId="0" fontId="156" fillId="3" borderId="0" xfId="0" applyFont="1" applyFill="1"/>
    <xf numFmtId="0" fontId="33" fillId="3" borderId="0" xfId="0" applyFont="1" applyFill="1"/>
    <xf numFmtId="1" fontId="66" fillId="14" borderId="43" xfId="2" applyNumberFormat="1" applyFont="1" applyFill="1" applyBorder="1" applyAlignment="1">
      <alignment horizontal="left" vertical="center"/>
    </xf>
    <xf numFmtId="0" fontId="24" fillId="64" borderId="45" xfId="1" applyFont="1" applyFill="1" applyBorder="1" applyAlignment="1" applyProtection="1"/>
    <xf numFmtId="1" fontId="79" fillId="64" borderId="0" xfId="1" applyNumberFormat="1" applyFont="1" applyFill="1" applyAlignment="1">
      <alignment horizontal="center" vertical="center" wrapText="1"/>
    </xf>
    <xf numFmtId="0" fontId="80" fillId="64" borderId="0" xfId="1" applyFont="1" applyFill="1" applyAlignment="1">
      <alignment horizontal="center" vertical="center" wrapText="1"/>
    </xf>
    <xf numFmtId="49" fontId="79" fillId="64" borderId="0" xfId="1" applyNumberFormat="1" applyFont="1" applyFill="1" applyAlignment="1">
      <alignment horizontal="center" vertical="center" wrapText="1"/>
    </xf>
    <xf numFmtId="1" fontId="80" fillId="64" borderId="0" xfId="1" applyNumberFormat="1" applyFont="1" applyFill="1" applyAlignment="1">
      <alignment horizontal="center" vertical="center" wrapText="1"/>
    </xf>
    <xf numFmtId="49" fontId="80" fillId="64" borderId="0" xfId="1" applyNumberFormat="1" applyFont="1" applyFill="1" applyAlignment="1">
      <alignment horizontal="center" vertical="center" wrapText="1"/>
    </xf>
    <xf numFmtId="1" fontId="80" fillId="0" borderId="95" xfId="1" applyNumberFormat="1" applyFont="1" applyBorder="1" applyAlignment="1">
      <alignment horizontal="center" vertical="center" wrapText="1"/>
    </xf>
    <xf numFmtId="0" fontId="80" fillId="64" borderId="0" xfId="1" applyFont="1" applyFill="1" applyBorder="1" applyAlignment="1">
      <alignment horizontal="center" vertical="center" wrapText="1"/>
    </xf>
    <xf numFmtId="49" fontId="79" fillId="64" borderId="0" xfId="1" applyNumberFormat="1" applyFont="1" applyFill="1" applyBorder="1" applyAlignment="1">
      <alignment horizontal="center" vertical="center" wrapText="1"/>
    </xf>
    <xf numFmtId="1" fontId="79" fillId="64" borderId="0" xfId="1" applyNumberFormat="1" applyFont="1" applyFill="1" applyBorder="1" applyAlignment="1">
      <alignment horizontal="center" vertical="center" wrapText="1"/>
    </xf>
    <xf numFmtId="1" fontId="80" fillId="64" borderId="0" xfId="1" applyNumberFormat="1" applyFont="1" applyFill="1" applyBorder="1" applyAlignment="1">
      <alignment horizontal="center" vertical="center" wrapText="1"/>
    </xf>
    <xf numFmtId="49" fontId="80" fillId="64" borderId="0" xfId="1" applyNumberFormat="1" applyFont="1" applyFill="1" applyBorder="1" applyAlignment="1">
      <alignment horizontal="center" vertical="center" wrapText="1"/>
    </xf>
    <xf numFmtId="0" fontId="24" fillId="64" borderId="45" xfId="1" applyFont="1" applyFill="1" applyBorder="1" applyAlignment="1">
      <alignment wrapText="1"/>
    </xf>
    <xf numFmtId="0" fontId="33" fillId="0" borderId="0" xfId="0" applyFont="1" applyAlignment="1">
      <alignment wrapText="1"/>
    </xf>
    <xf numFmtId="0" fontId="24" fillId="3" borderId="45" xfId="1" applyFont="1" applyFill="1" applyBorder="1" applyAlignment="1" applyProtection="1">
      <alignment wrapText="1"/>
    </xf>
    <xf numFmtId="0" fontId="80" fillId="3" borderId="0" xfId="1" applyFont="1" applyFill="1" applyAlignment="1">
      <alignment horizontal="center" vertical="center" wrapText="1"/>
    </xf>
    <xf numFmtId="0" fontId="157" fillId="0" borderId="46" xfId="1" applyFont="1" applyBorder="1" applyAlignment="1">
      <alignment horizontal="center" vertical="center"/>
    </xf>
    <xf numFmtId="0" fontId="136" fillId="12" borderId="0" xfId="1" applyFont="1" applyFill="1" applyAlignment="1">
      <alignment horizontal="center"/>
    </xf>
    <xf numFmtId="1" fontId="79" fillId="3" borderId="0" xfId="1" applyNumberFormat="1" applyFont="1" applyFill="1" applyAlignment="1">
      <alignment horizontal="center" vertical="center" wrapText="1"/>
    </xf>
    <xf numFmtId="0" fontId="80" fillId="3" borderId="0" xfId="1" applyFont="1" applyFill="1" applyBorder="1" applyAlignment="1">
      <alignment horizontal="center" vertical="center" wrapText="1"/>
    </xf>
    <xf numFmtId="0" fontId="24" fillId="2" borderId="45" xfId="1" applyFont="1" applyFill="1" applyBorder="1" applyAlignment="1"/>
    <xf numFmtId="0" fontId="24" fillId="64" borderId="45" xfId="1" applyFont="1" applyFill="1" applyBorder="1" applyAlignment="1"/>
    <xf numFmtId="49" fontId="79" fillId="14" borderId="0" xfId="1" applyNumberFormat="1" applyFont="1" applyFill="1" applyAlignment="1">
      <alignment horizontal="center" vertical="center" wrapText="1"/>
    </xf>
    <xf numFmtId="0" fontId="79" fillId="64" borderId="0" xfId="1" applyFont="1" applyFill="1" applyAlignment="1">
      <alignment horizontal="center" vertical="center" wrapText="1"/>
    </xf>
    <xf numFmtId="0" fontId="24" fillId="3" borderId="0" xfId="1" applyFont="1" applyFill="1" applyBorder="1" applyAlignment="1" applyProtection="1"/>
    <xf numFmtId="49" fontId="80" fillId="0" borderId="96" xfId="1" applyNumberFormat="1" applyFont="1" applyFill="1" applyBorder="1" applyAlignment="1">
      <alignment horizontal="center" vertical="center" wrapText="1"/>
    </xf>
    <xf numFmtId="1" fontId="0" fillId="0" borderId="0" xfId="0" applyNumberFormat="1" applyAlignment="1">
      <alignment horizontal="left"/>
    </xf>
    <xf numFmtId="0" fontId="24" fillId="64" borderId="45" xfId="1" applyFont="1" applyFill="1" applyBorder="1" applyAlignment="1" applyProtection="1">
      <alignment wrapText="1"/>
    </xf>
    <xf numFmtId="0" fontId="33" fillId="0" borderId="21" xfId="0" applyFont="1" applyBorder="1" applyAlignment="1">
      <alignment horizontal="center"/>
    </xf>
    <xf numFmtId="0" fontId="158" fillId="0" borderId="0" xfId="1" applyFont="1" applyFill="1" applyAlignment="1">
      <alignment horizontal="center" vertical="center" wrapText="1"/>
    </xf>
    <xf numFmtId="0" fontId="158" fillId="3" borderId="0" xfId="1" applyFont="1" applyFill="1" applyAlignment="1">
      <alignment horizontal="center" vertical="center" wrapText="1"/>
    </xf>
    <xf numFmtId="0" fontId="0" fillId="3" borderId="0" xfId="0" applyFill="1" applyAlignment="1">
      <alignment horizontal="left"/>
    </xf>
    <xf numFmtId="49" fontId="79" fillId="3" borderId="0" xfId="1" applyNumberFormat="1" applyFont="1" applyFill="1" applyAlignment="1">
      <alignment horizontal="center" vertical="center" wrapText="1"/>
    </xf>
    <xf numFmtId="1" fontId="80" fillId="3" borderId="0" xfId="1" applyNumberFormat="1" applyFont="1" applyFill="1" applyAlignment="1">
      <alignment horizontal="center" vertical="center" wrapText="1"/>
    </xf>
    <xf numFmtId="49" fontId="80" fillId="3" borderId="0" xfId="1" applyNumberFormat="1" applyFont="1" applyFill="1" applyAlignment="1">
      <alignment horizontal="center" vertical="center" wrapText="1"/>
    </xf>
    <xf numFmtId="0" fontId="79" fillId="3" borderId="0" xfId="1" applyFont="1" applyFill="1" applyAlignment="1">
      <alignment horizontal="center" vertical="center" wrapText="1"/>
    </xf>
    <xf numFmtId="0" fontId="24" fillId="21" borderId="94" xfId="1" applyFont="1" applyFill="1" applyBorder="1" applyAlignment="1" applyProtection="1"/>
    <xf numFmtId="0" fontId="158" fillId="0" borderId="0" xfId="1" applyFont="1" applyFill="1" applyBorder="1" applyAlignment="1">
      <alignment horizontal="center" vertical="center" wrapText="1"/>
    </xf>
    <xf numFmtId="49" fontId="79" fillId="14" borderId="0" xfId="1" applyNumberFormat="1" applyFont="1" applyFill="1" applyBorder="1" applyAlignment="1">
      <alignment horizontal="center" vertical="center" wrapText="1"/>
    </xf>
    <xf numFmtId="3" fontId="18" fillId="14" borderId="0" xfId="9" applyFill="1" applyBorder="1">
      <alignment horizontal="center"/>
    </xf>
    <xf numFmtId="0" fontId="66" fillId="14" borderId="44" xfId="1" applyFont="1" applyFill="1" applyBorder="1" applyAlignment="1">
      <alignment horizontal="center"/>
    </xf>
    <xf numFmtId="0" fontId="25" fillId="14" borderId="44" xfId="1" applyFont="1" applyFill="1" applyBorder="1" applyAlignment="1">
      <alignment horizontal="center"/>
    </xf>
    <xf numFmtId="0" fontId="25" fillId="14" borderId="0" xfId="1" applyFont="1" applyFill="1" applyBorder="1" applyAlignment="1">
      <alignment horizontal="center"/>
    </xf>
    <xf numFmtId="0" fontId="22" fillId="14" borderId="0" xfId="1" applyFont="1" applyFill="1" applyBorder="1" applyAlignment="1">
      <alignment horizontal="center"/>
    </xf>
    <xf numFmtId="0" fontId="5" fillId="14" borderId="0" xfId="1" applyFill="1" applyAlignment="1">
      <alignment horizontal="center"/>
    </xf>
    <xf numFmtId="0" fontId="3" fillId="9" borderId="1" xfId="6" applyFont="1" applyFill="1" applyBorder="1" applyAlignment="1">
      <alignment horizontal="center" vertical="center"/>
    </xf>
    <xf numFmtId="0" fontId="51" fillId="0" borderId="0" xfId="2" applyFont="1" applyFill="1" applyAlignment="1">
      <alignment horizontal="center" vertical="center"/>
    </xf>
    <xf numFmtId="0" fontId="31" fillId="16" borderId="42" xfId="8" applyFont="1" applyFill="1" applyBorder="1" applyAlignment="1">
      <alignment horizontal="center" vertical="center" wrapText="1"/>
    </xf>
    <xf numFmtId="0" fontId="31" fillId="16" borderId="48" xfId="8" applyFont="1" applyFill="1" applyBorder="1" applyAlignment="1">
      <alignment horizontal="center" vertical="center" wrapText="1"/>
    </xf>
    <xf numFmtId="0" fontId="30" fillId="7" borderId="13" xfId="8" applyFont="1" applyFill="1" applyBorder="1" applyAlignment="1">
      <alignment horizontal="center" vertical="center"/>
    </xf>
    <xf numFmtId="0" fontId="30" fillId="7" borderId="14" xfId="8" applyFont="1" applyFill="1" applyBorder="1" applyAlignment="1">
      <alignment horizontal="center" vertical="center"/>
    </xf>
    <xf numFmtId="0" fontId="30" fillId="7" borderId="15" xfId="8" applyFont="1" applyFill="1" applyBorder="1" applyAlignment="1">
      <alignment horizontal="center" vertical="center"/>
    </xf>
    <xf numFmtId="0" fontId="114" fillId="12" borderId="42" xfId="8" applyFont="1" applyFill="1" applyBorder="1" applyAlignment="1">
      <alignment horizontal="center" vertical="center"/>
    </xf>
    <xf numFmtId="0" fontId="114" fillId="12" borderId="48" xfId="8" applyFont="1" applyFill="1" applyBorder="1" applyAlignment="1">
      <alignment horizontal="center" vertical="center"/>
    </xf>
    <xf numFmtId="0" fontId="54" fillId="6" borderId="42" xfId="8" applyFont="1" applyFill="1" applyBorder="1" applyAlignment="1">
      <alignment horizontal="center" vertical="center" wrapText="1"/>
    </xf>
    <xf numFmtId="0" fontId="54" fillId="6" borderId="48" xfId="8" applyFont="1" applyFill="1" applyBorder="1" applyAlignment="1">
      <alignment horizontal="center" vertical="center" wrapText="1"/>
    </xf>
    <xf numFmtId="0" fontId="121" fillId="24" borderId="42" xfId="8" applyFont="1" applyFill="1" applyBorder="1" applyAlignment="1">
      <alignment horizontal="center" vertical="center" wrapText="1"/>
    </xf>
    <xf numFmtId="0" fontId="121" fillId="24" borderId="48" xfId="8" applyFont="1" applyFill="1" applyBorder="1" applyAlignment="1">
      <alignment horizontal="center" vertical="center" wrapText="1"/>
    </xf>
    <xf numFmtId="0" fontId="54" fillId="12" borderId="42" xfId="8" applyFont="1" applyFill="1" applyBorder="1" applyAlignment="1">
      <alignment horizontal="center" vertical="center" wrapText="1"/>
    </xf>
    <xf numFmtId="0" fontId="54" fillId="12" borderId="48" xfId="8" applyFont="1" applyFill="1" applyBorder="1" applyAlignment="1">
      <alignment horizontal="center" vertical="center" wrapText="1"/>
    </xf>
    <xf numFmtId="0" fontId="2" fillId="12" borderId="42" xfId="8" applyFont="1" applyFill="1" applyBorder="1" applyAlignment="1">
      <alignment horizontal="center" vertical="center"/>
    </xf>
    <xf numFmtId="0" fontId="2" fillId="12" borderId="48" xfId="8" applyFont="1" applyFill="1" applyBorder="1" applyAlignment="1">
      <alignment horizontal="center" vertical="center"/>
    </xf>
    <xf numFmtId="0" fontId="114" fillId="12" borderId="42" xfId="8" applyFont="1" applyFill="1" applyBorder="1" applyAlignment="1">
      <alignment horizontal="center" vertical="center" wrapText="1"/>
    </xf>
    <xf numFmtId="0" fontId="114" fillId="12" borderId="48" xfId="8" applyFont="1" applyFill="1" applyBorder="1" applyAlignment="1">
      <alignment horizontal="center" vertical="center" wrapText="1"/>
    </xf>
    <xf numFmtId="0" fontId="31" fillId="12" borderId="42" xfId="8" applyFont="1" applyFill="1" applyBorder="1" applyAlignment="1">
      <alignment horizontal="center" vertical="center" wrapText="1"/>
    </xf>
    <xf numFmtId="0" fontId="31" fillId="12" borderId="48" xfId="8" applyFont="1" applyFill="1" applyBorder="1" applyAlignment="1">
      <alignment horizontal="center" vertical="center" wrapText="1"/>
    </xf>
    <xf numFmtId="0" fontId="2" fillId="12" borderId="42" xfId="8" applyFont="1" applyFill="1" applyBorder="1" applyAlignment="1">
      <alignment horizontal="center" vertical="center" wrapText="1"/>
    </xf>
    <xf numFmtId="0" fontId="2" fillId="12" borderId="48" xfId="8" applyFont="1" applyFill="1" applyBorder="1" applyAlignment="1">
      <alignment horizontal="center" vertical="center" wrapText="1"/>
    </xf>
    <xf numFmtId="1" fontId="31" fillId="18" borderId="88" xfId="8" applyNumberFormat="1" applyFont="1" applyFill="1" applyBorder="1" applyAlignment="1">
      <alignment horizontal="center" vertical="center" wrapText="1"/>
    </xf>
    <xf numFmtId="0" fontId="122" fillId="6" borderId="48" xfId="8" applyFont="1" applyFill="1" applyBorder="1" applyAlignment="1">
      <alignment horizontal="center" vertical="center" wrapText="1"/>
    </xf>
    <xf numFmtId="0" fontId="122" fillId="6" borderId="66" xfId="8" applyFont="1" applyFill="1" applyBorder="1" applyAlignment="1">
      <alignment horizontal="center" vertical="center" wrapText="1"/>
    </xf>
    <xf numFmtId="1" fontId="67" fillId="13" borderId="43" xfId="2" applyNumberFormat="1" applyFont="1" applyFill="1" applyBorder="1" applyAlignment="1">
      <alignment horizontal="center" vertical="center"/>
    </xf>
    <xf numFmtId="1" fontId="68" fillId="13" borderId="78" xfId="2" applyNumberFormat="1" applyFont="1" applyFill="1" applyBorder="1" applyAlignment="1">
      <alignment horizontal="center" vertical="center"/>
    </xf>
    <xf numFmtId="1" fontId="68" fillId="13" borderId="79" xfId="2" applyNumberFormat="1" applyFont="1" applyFill="1" applyBorder="1" applyAlignment="1">
      <alignment horizontal="center" vertical="center"/>
    </xf>
    <xf numFmtId="1" fontId="68" fillId="13" borderId="80" xfId="2" applyNumberFormat="1" applyFont="1" applyFill="1" applyBorder="1" applyAlignment="1">
      <alignment horizontal="center" vertical="center"/>
    </xf>
    <xf numFmtId="0" fontId="3" fillId="23" borderId="42" xfId="8" applyFont="1" applyFill="1" applyBorder="1" applyAlignment="1">
      <alignment horizontal="center" vertical="center" wrapText="1"/>
    </xf>
    <xf numFmtId="0" fontId="3" fillId="23" borderId="48" xfId="8" applyFont="1" applyFill="1" applyBorder="1" applyAlignment="1">
      <alignment horizontal="center" vertical="center" wrapText="1"/>
    </xf>
    <xf numFmtId="0" fontId="2" fillId="14" borderId="42" xfId="8" applyFont="1" applyFill="1" applyBorder="1" applyAlignment="1">
      <alignment horizontal="center" vertical="center"/>
    </xf>
    <xf numFmtId="0" fontId="2" fillId="14" borderId="48" xfId="8" applyFont="1" applyFill="1" applyBorder="1" applyAlignment="1">
      <alignment horizontal="center" vertical="center"/>
    </xf>
    <xf numFmtId="49" fontId="50" fillId="0" borderId="33" xfId="0" applyNumberFormat="1" applyFont="1" applyBorder="1" applyAlignment="1">
      <alignment horizontal="center"/>
    </xf>
    <xf numFmtId="49" fontId="50" fillId="0" borderId="0" xfId="0" applyNumberFormat="1" applyFont="1" applyAlignment="1">
      <alignment horizontal="center"/>
    </xf>
    <xf numFmtId="49" fontId="50" fillId="0" borderId="34" xfId="0" applyNumberFormat="1" applyFont="1" applyBorder="1" applyAlignment="1">
      <alignment horizontal="center"/>
    </xf>
    <xf numFmtId="0" fontId="2" fillId="16" borderId="25" xfId="0" applyFont="1" applyFill="1" applyBorder="1" applyAlignment="1">
      <alignment horizontal="center" vertical="center" wrapText="1"/>
    </xf>
    <xf numFmtId="0" fontId="2" fillId="16" borderId="26" xfId="0" applyFont="1" applyFill="1" applyBorder="1" applyAlignment="1">
      <alignment horizontal="center" vertical="center" wrapText="1"/>
    </xf>
    <xf numFmtId="0" fontId="2" fillId="16" borderId="60" xfId="0" applyFont="1" applyFill="1" applyBorder="1" applyAlignment="1">
      <alignment horizontal="center" vertical="center" wrapText="1"/>
    </xf>
    <xf numFmtId="0" fontId="2" fillId="16" borderId="21" xfId="0" applyFont="1" applyFill="1" applyBorder="1" applyAlignment="1">
      <alignment horizontal="center" vertical="center" wrapText="1"/>
    </xf>
    <xf numFmtId="0" fontId="20" fillId="16" borderId="35" xfId="0" applyFont="1" applyFill="1" applyBorder="1" applyAlignment="1">
      <alignment horizontal="center" vertical="center" wrapText="1"/>
    </xf>
    <xf numFmtId="0" fontId="20" fillId="16" borderId="41" xfId="0" applyFont="1" applyFill="1" applyBorder="1" applyAlignment="1">
      <alignment horizontal="center" vertical="center" wrapText="1"/>
    </xf>
    <xf numFmtId="0" fontId="20" fillId="16" borderId="23" xfId="0" applyFont="1" applyFill="1" applyBorder="1" applyAlignment="1">
      <alignment horizontal="center" vertical="center" wrapText="1"/>
    </xf>
    <xf numFmtId="0" fontId="20" fillId="16" borderId="24" xfId="0" applyFont="1" applyFill="1" applyBorder="1" applyAlignment="1">
      <alignment horizontal="center" vertical="center" wrapText="1"/>
    </xf>
    <xf numFmtId="0" fontId="15" fillId="0" borderId="81" xfId="0" applyFont="1" applyBorder="1" applyAlignment="1">
      <alignment horizontal="center"/>
    </xf>
    <xf numFmtId="0" fontId="15" fillId="0" borderId="82" xfId="0" applyFont="1" applyBorder="1" applyAlignment="1">
      <alignment horizontal="center"/>
    </xf>
    <xf numFmtId="0" fontId="2" fillId="16" borderId="27" xfId="0" applyFont="1" applyFill="1" applyBorder="1" applyAlignment="1">
      <alignment horizontal="center" vertical="center" wrapText="1"/>
    </xf>
    <xf numFmtId="0" fontId="2" fillId="16" borderId="32" xfId="0" applyFont="1" applyFill="1" applyBorder="1" applyAlignment="1">
      <alignment horizontal="center" vertical="center" wrapText="1"/>
    </xf>
    <xf numFmtId="1" fontId="40" fillId="0" borderId="54" xfId="0" applyNumberFormat="1" applyFont="1" applyBorder="1" applyAlignment="1">
      <alignment horizontal="center"/>
    </xf>
    <xf numFmtId="0" fontId="40" fillId="0" borderId="57" xfId="0" applyFont="1" applyBorder="1" applyAlignment="1">
      <alignment horizontal="center"/>
    </xf>
    <xf numFmtId="1" fontId="40" fillId="0" borderId="13" xfId="0" applyNumberFormat="1"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center"/>
    </xf>
    <xf numFmtId="0" fontId="34" fillId="17" borderId="13" xfId="0" applyFont="1" applyFill="1" applyBorder="1" applyAlignment="1">
      <alignment horizontal="center" vertical="center"/>
    </xf>
    <xf numFmtId="0" fontId="34" fillId="17" borderId="15" xfId="0" applyFont="1" applyFill="1" applyBorder="1" applyAlignment="1">
      <alignment horizontal="center" vertical="center"/>
    </xf>
    <xf numFmtId="0" fontId="34" fillId="7" borderId="13" xfId="0" applyFont="1" applyFill="1" applyBorder="1" applyAlignment="1">
      <alignment horizontal="center" vertical="center"/>
    </xf>
    <xf numFmtId="0" fontId="34" fillId="7" borderId="15" xfId="0" applyFont="1" applyFill="1" applyBorder="1" applyAlignment="1">
      <alignment horizontal="center" vertical="center"/>
    </xf>
    <xf numFmtId="0" fontId="34" fillId="13" borderId="33" xfId="0" applyFont="1" applyFill="1" applyBorder="1" applyAlignment="1">
      <alignment horizontal="center" vertical="center"/>
    </xf>
    <xf numFmtId="0" fontId="34" fillId="13" borderId="34" xfId="0" applyFont="1" applyFill="1" applyBorder="1" applyAlignment="1">
      <alignment horizontal="center" vertical="center"/>
    </xf>
    <xf numFmtId="0" fontId="36" fillId="14" borderId="13" xfId="0" applyFont="1" applyFill="1" applyBorder="1" applyAlignment="1">
      <alignment horizontal="center" vertical="center"/>
    </xf>
    <xf numFmtId="0" fontId="36" fillId="14" borderId="15" xfId="0" applyFont="1" applyFill="1" applyBorder="1" applyAlignment="1">
      <alignment horizontal="center" vertical="center"/>
    </xf>
    <xf numFmtId="0" fontId="34" fillId="13" borderId="13" xfId="0" applyFont="1" applyFill="1" applyBorder="1" applyAlignment="1">
      <alignment horizontal="center" vertical="center"/>
    </xf>
    <xf numFmtId="0" fontId="34" fillId="13" borderId="15" xfId="0" applyFont="1" applyFill="1" applyBorder="1" applyAlignment="1">
      <alignment horizontal="center" vertical="center"/>
    </xf>
    <xf numFmtId="0" fontId="34" fillId="19" borderId="13" xfId="0" applyFont="1" applyFill="1" applyBorder="1" applyAlignment="1">
      <alignment horizontal="center" vertical="center"/>
    </xf>
    <xf numFmtId="0" fontId="34" fillId="19" borderId="15" xfId="0" applyFont="1" applyFill="1" applyBorder="1" applyAlignment="1">
      <alignment horizontal="center" vertical="center"/>
    </xf>
    <xf numFmtId="0" fontId="34" fillId="12" borderId="13" xfId="0" applyFont="1" applyFill="1" applyBorder="1" applyAlignment="1">
      <alignment horizontal="center" vertical="center"/>
    </xf>
    <xf numFmtId="0" fontId="34" fillId="12" borderId="15" xfId="0" applyFont="1" applyFill="1" applyBorder="1" applyAlignment="1">
      <alignment horizontal="center" vertical="center"/>
    </xf>
    <xf numFmtId="0" fontId="34" fillId="18" borderId="13" xfId="0" applyFont="1" applyFill="1" applyBorder="1" applyAlignment="1">
      <alignment horizontal="center" vertical="center"/>
    </xf>
    <xf numFmtId="0" fontId="34" fillId="18" borderId="15" xfId="0" applyFont="1" applyFill="1" applyBorder="1" applyAlignment="1">
      <alignment horizontal="center" vertical="center"/>
    </xf>
    <xf numFmtId="0" fontId="61" fillId="0" borderId="37" xfId="0" applyFont="1" applyBorder="1" applyAlignment="1">
      <alignment horizontal="center" vertical="center"/>
    </xf>
    <xf numFmtId="0" fontId="61" fillId="0" borderId="38" xfId="0" applyFont="1" applyBorder="1" applyAlignment="1">
      <alignment horizontal="center" vertical="center"/>
    </xf>
    <xf numFmtId="0" fontId="62" fillId="26" borderId="13" xfId="0" applyFont="1" applyFill="1" applyBorder="1" applyAlignment="1">
      <alignment horizontal="center" vertical="center" wrapText="1"/>
    </xf>
    <xf numFmtId="0" fontId="62" fillId="26" borderId="14" xfId="0" applyFont="1" applyFill="1" applyBorder="1" applyAlignment="1">
      <alignment horizontal="center" vertical="center" wrapText="1"/>
    </xf>
    <xf numFmtId="0" fontId="62" fillId="26" borderId="15" xfId="0" applyFont="1" applyFill="1" applyBorder="1" applyAlignment="1">
      <alignment horizontal="center" vertical="center" wrapText="1"/>
    </xf>
    <xf numFmtId="0" fontId="123" fillId="44" borderId="13" xfId="1" applyFont="1" applyFill="1" applyBorder="1" applyAlignment="1">
      <alignment horizontal="center" vertical="center"/>
    </xf>
    <xf numFmtId="0" fontId="123" fillId="44" borderId="14" xfId="1" applyFont="1" applyFill="1" applyBorder="1" applyAlignment="1">
      <alignment horizontal="center" vertical="center"/>
    </xf>
    <xf numFmtId="0" fontId="123" fillId="44" borderId="15" xfId="1" applyFont="1" applyFill="1" applyBorder="1" applyAlignment="1">
      <alignment horizontal="center" vertical="center"/>
    </xf>
    <xf numFmtId="0" fontId="123" fillId="13" borderId="13" xfId="1" applyFont="1" applyFill="1" applyBorder="1" applyAlignment="1">
      <alignment horizontal="center" vertical="center"/>
    </xf>
    <xf numFmtId="0" fontId="123" fillId="13" borderId="15" xfId="1" applyFont="1" applyFill="1" applyBorder="1" applyAlignment="1">
      <alignment horizontal="center" vertical="center"/>
    </xf>
    <xf numFmtId="0" fontId="124" fillId="14" borderId="13" xfId="1" applyFont="1" applyFill="1" applyBorder="1" applyAlignment="1">
      <alignment horizontal="center" vertical="center"/>
    </xf>
    <xf numFmtId="0" fontId="124" fillId="14" borderId="14" xfId="1" applyFont="1" applyFill="1" applyBorder="1" applyAlignment="1">
      <alignment horizontal="center" vertical="center"/>
    </xf>
    <xf numFmtId="0" fontId="124" fillId="14" borderId="15" xfId="1" applyFont="1" applyFill="1" applyBorder="1" applyAlignment="1">
      <alignment horizontal="center" vertical="center"/>
    </xf>
    <xf numFmtId="0" fontId="3" fillId="24" borderId="61" xfId="0" applyFont="1" applyFill="1" applyBorder="1" applyAlignment="1">
      <alignment horizontal="center"/>
    </xf>
    <xf numFmtId="0" fontId="3" fillId="24" borderId="62" xfId="0" applyFont="1" applyFill="1" applyBorder="1" applyAlignment="1">
      <alignment horizontal="center"/>
    </xf>
    <xf numFmtId="0" fontId="45" fillId="0" borderId="26" xfId="0" applyFont="1" applyBorder="1" applyAlignment="1">
      <alignment horizontal="center" vertical="center" wrapText="1"/>
    </xf>
    <xf numFmtId="0" fontId="70" fillId="33" borderId="25" xfId="0" applyFont="1" applyFill="1" applyBorder="1" applyAlignment="1">
      <alignment horizontal="center" vertical="center"/>
    </xf>
    <xf numFmtId="0" fontId="70" fillId="33" borderId="26" xfId="0" applyFont="1" applyFill="1" applyBorder="1" applyAlignment="1">
      <alignment horizontal="center" vertical="center"/>
    </xf>
    <xf numFmtId="0" fontId="70" fillId="33" borderId="27" xfId="0" applyFont="1" applyFill="1" applyBorder="1" applyAlignment="1">
      <alignment horizontal="center" vertical="center"/>
    </xf>
    <xf numFmtId="0" fontId="70" fillId="9" borderId="13" xfId="0" applyFont="1" applyFill="1" applyBorder="1" applyAlignment="1">
      <alignment horizontal="center" vertical="center" wrapText="1"/>
    </xf>
    <xf numFmtId="0" fontId="70" fillId="9" borderId="14" xfId="0" applyFont="1" applyFill="1" applyBorder="1" applyAlignment="1">
      <alignment horizontal="center" vertical="center" wrapText="1"/>
    </xf>
    <xf numFmtId="0" fontId="70" fillId="9" borderId="15" xfId="0" applyFont="1" applyFill="1" applyBorder="1" applyAlignment="1">
      <alignment horizontal="center" vertical="center" wrapText="1"/>
    </xf>
    <xf numFmtId="0" fontId="70" fillId="23" borderId="60" xfId="0" applyFont="1" applyFill="1" applyBorder="1" applyAlignment="1">
      <alignment horizontal="center" vertical="center" wrapText="1"/>
    </xf>
    <xf numFmtId="0" fontId="70" fillId="23" borderId="21" xfId="0" applyFont="1" applyFill="1" applyBorder="1" applyAlignment="1">
      <alignment horizontal="center" vertical="center" wrapText="1"/>
    </xf>
    <xf numFmtId="0" fontId="54" fillId="7" borderId="74" xfId="0" applyFont="1" applyFill="1" applyBorder="1" applyAlignment="1">
      <alignment horizontal="center" vertical="center" wrapText="1"/>
    </xf>
    <xf numFmtId="0" fontId="54" fillId="7" borderId="75" xfId="0" applyFont="1" applyFill="1" applyBorder="1" applyAlignment="1">
      <alignment horizontal="center" vertical="center" wrapText="1"/>
    </xf>
    <xf numFmtId="0" fontId="70" fillId="29" borderId="13" xfId="0" applyFont="1" applyFill="1" applyBorder="1" applyAlignment="1">
      <alignment horizontal="center" vertical="center"/>
    </xf>
    <xf numFmtId="0" fontId="70" fillId="29" borderId="14" xfId="0" applyFont="1" applyFill="1" applyBorder="1" applyAlignment="1">
      <alignment horizontal="center" vertical="center"/>
    </xf>
    <xf numFmtId="0" fontId="70" fillId="29" borderId="15" xfId="0" applyFont="1" applyFill="1" applyBorder="1" applyAlignment="1">
      <alignment horizontal="center" vertical="center"/>
    </xf>
    <xf numFmtId="0" fontId="72" fillId="31" borderId="19" xfId="0" applyFont="1" applyFill="1" applyBorder="1" applyAlignment="1">
      <alignment horizontal="center" vertical="center"/>
    </xf>
    <xf numFmtId="0" fontId="72" fillId="31" borderId="20" xfId="0" applyFont="1" applyFill="1" applyBorder="1" applyAlignment="1">
      <alignment horizontal="center" vertical="center"/>
    </xf>
    <xf numFmtId="0" fontId="70" fillId="32" borderId="83" xfId="0" applyFont="1" applyFill="1" applyBorder="1" applyAlignment="1">
      <alignment horizontal="center" vertical="center"/>
    </xf>
    <xf numFmtId="0" fontId="70" fillId="32" borderId="87" xfId="0" applyFont="1" applyFill="1" applyBorder="1" applyAlignment="1">
      <alignment horizontal="center" vertical="center"/>
    </xf>
    <xf numFmtId="0" fontId="70" fillId="32" borderId="52" xfId="0" applyFont="1" applyFill="1" applyBorder="1" applyAlignment="1">
      <alignment horizontal="center" vertical="center"/>
    </xf>
    <xf numFmtId="49" fontId="46" fillId="0" borderId="13" xfId="0" applyNumberFormat="1" applyFont="1" applyBorder="1" applyAlignment="1">
      <alignment horizontal="center"/>
    </xf>
    <xf numFmtId="49" fontId="46" fillId="0" borderId="14" xfId="0" applyNumberFormat="1" applyFont="1" applyBorder="1" applyAlignment="1">
      <alignment horizontal="center"/>
    </xf>
    <xf numFmtId="49" fontId="46" fillId="0" borderId="15" xfId="0" applyNumberFormat="1" applyFont="1" applyBorder="1" applyAlignment="1">
      <alignment horizontal="center"/>
    </xf>
    <xf numFmtId="0" fontId="161" fillId="37" borderId="1" xfId="0" applyFont="1" applyFill="1" applyBorder="1" applyAlignment="1">
      <alignment horizontal="left" vertical="center" wrapText="1"/>
    </xf>
  </cellXfs>
  <cellStyles count="247">
    <cellStyle name="Activity" xfId="1" xr:uid="{00000000-0005-0000-0000-000000000000}"/>
    <cellStyle name="Excel Built-in Hyperlink" xfId="243" xr:uid="{1AF6D268-1B75-4017-909B-FE2CE895E9E5}"/>
    <cellStyle name="Excel Built-in Normal" xfId="244" xr:uid="{7C88D665-9A88-4AA4-91AC-ADB3E17FF1B1}"/>
    <cellStyle name="Excel Built-in Normal 1 2" xfId="68" xr:uid="{00000000-0005-0000-0000-000001000000}"/>
    <cellStyle name="Hipervínculo" xfId="239" builtinId="8"/>
    <cellStyle name="Hyperlink" xfId="245" xr:uid="{24E34E68-0903-4FCE-BAB0-C700B90BD18F}"/>
    <cellStyle name="Label" xfId="4" xr:uid="{00000000-0005-0000-0000-000002000000}"/>
    <cellStyle name="Millares [0] 2" xfId="10" xr:uid="{00000000-0005-0000-0000-000003000000}"/>
    <cellStyle name="Millares [0] 2 2" xfId="38" xr:uid="{00000000-0005-0000-0000-000004000000}"/>
    <cellStyle name="Millares [0] 2 2 2" xfId="64" xr:uid="{00000000-0005-0000-0000-000005000000}"/>
    <cellStyle name="Millares [0] 2 2 2 2" xfId="117" xr:uid="{00000000-0005-0000-0000-000006000000}"/>
    <cellStyle name="Millares [0] 2 2 2 2 2" xfId="229" xr:uid="{00000000-0005-0000-0000-000007000000}"/>
    <cellStyle name="Millares [0] 2 2 2 3" xfId="177" xr:uid="{00000000-0005-0000-0000-000008000000}"/>
    <cellStyle name="Millares [0] 2 2 3" xfId="91" xr:uid="{00000000-0005-0000-0000-000009000000}"/>
    <cellStyle name="Millares [0] 2 2 3 2" xfId="203" xr:uid="{00000000-0005-0000-0000-00000A000000}"/>
    <cellStyle name="Millares [0] 2 2 4" xfId="151" xr:uid="{00000000-0005-0000-0000-00000B000000}"/>
    <cellStyle name="Millares [0] 2 3" xfId="51" xr:uid="{00000000-0005-0000-0000-00000C000000}"/>
    <cellStyle name="Millares [0] 2 3 2" xfId="104" xr:uid="{00000000-0005-0000-0000-00000D000000}"/>
    <cellStyle name="Millares [0] 2 3 2 2" xfId="216" xr:uid="{00000000-0005-0000-0000-00000E000000}"/>
    <cellStyle name="Millares [0] 2 3 3" xfId="164" xr:uid="{00000000-0005-0000-0000-00000F000000}"/>
    <cellStyle name="Millares [0] 2 4" xfId="25" xr:uid="{00000000-0005-0000-0000-000010000000}"/>
    <cellStyle name="Millares [0] 2 4 2" xfId="138" xr:uid="{00000000-0005-0000-0000-000011000000}"/>
    <cellStyle name="Millares [0] 2 5" xfId="78" xr:uid="{00000000-0005-0000-0000-000012000000}"/>
    <cellStyle name="Millares [0] 2 5 2" xfId="190" xr:uid="{00000000-0005-0000-0000-000013000000}"/>
    <cellStyle name="Millares [0] 2 6" xfId="123" xr:uid="{00000000-0005-0000-0000-000014000000}"/>
    <cellStyle name="Millares [0] 2 7" xfId="236" xr:uid="{00000000-0005-0000-0000-000015000000}"/>
    <cellStyle name="Millares [0] 3" xfId="12" xr:uid="{00000000-0005-0000-0000-000016000000}"/>
    <cellStyle name="Millares [0] 3 2" xfId="40" xr:uid="{00000000-0005-0000-0000-000017000000}"/>
    <cellStyle name="Millares [0] 3 2 2" xfId="66" xr:uid="{00000000-0005-0000-0000-000018000000}"/>
    <cellStyle name="Millares [0] 3 2 2 2" xfId="119" xr:uid="{00000000-0005-0000-0000-000019000000}"/>
    <cellStyle name="Millares [0] 3 2 2 2 2" xfId="231" xr:uid="{00000000-0005-0000-0000-00001A000000}"/>
    <cellStyle name="Millares [0] 3 2 2 3" xfId="179" xr:uid="{00000000-0005-0000-0000-00001B000000}"/>
    <cellStyle name="Millares [0] 3 2 3" xfId="93" xr:uid="{00000000-0005-0000-0000-00001C000000}"/>
    <cellStyle name="Millares [0] 3 2 3 2" xfId="205" xr:uid="{00000000-0005-0000-0000-00001D000000}"/>
    <cellStyle name="Millares [0] 3 2 4" xfId="153" xr:uid="{00000000-0005-0000-0000-00001E000000}"/>
    <cellStyle name="Millares [0] 3 3" xfId="53" xr:uid="{00000000-0005-0000-0000-00001F000000}"/>
    <cellStyle name="Millares [0] 3 3 2" xfId="106" xr:uid="{00000000-0005-0000-0000-000020000000}"/>
    <cellStyle name="Millares [0] 3 3 2 2" xfId="218" xr:uid="{00000000-0005-0000-0000-000021000000}"/>
    <cellStyle name="Millares [0] 3 3 3" xfId="166" xr:uid="{00000000-0005-0000-0000-000022000000}"/>
    <cellStyle name="Millares [0] 3 4" xfId="27" xr:uid="{00000000-0005-0000-0000-000023000000}"/>
    <cellStyle name="Millares [0] 3 4 2" xfId="140" xr:uid="{00000000-0005-0000-0000-000024000000}"/>
    <cellStyle name="Millares [0] 3 5" xfId="80" xr:uid="{00000000-0005-0000-0000-000025000000}"/>
    <cellStyle name="Millares [0] 3 5 2" xfId="192" xr:uid="{00000000-0005-0000-0000-000026000000}"/>
    <cellStyle name="Millares [0] 3 6" xfId="125" xr:uid="{00000000-0005-0000-0000-000027000000}"/>
    <cellStyle name="Millares [0] 4" xfId="14" xr:uid="{00000000-0005-0000-0000-000028000000}"/>
    <cellStyle name="Millares [0] 4 2" xfId="127" xr:uid="{00000000-0005-0000-0000-000029000000}"/>
    <cellStyle name="Millares [0] 5" xfId="121" xr:uid="{00000000-0005-0000-0000-00002A000000}"/>
    <cellStyle name="Millares [0] 6" xfId="234" xr:uid="{00000000-0005-0000-0000-00002B000000}"/>
    <cellStyle name="Moneda [0]" xfId="246" builtinId="7"/>
    <cellStyle name="Moneda [0] 10" xfId="16" xr:uid="{00000000-0005-0000-0000-00002D000000}"/>
    <cellStyle name="Moneda [0] 10 2" xfId="129" xr:uid="{00000000-0005-0000-0000-00002E000000}"/>
    <cellStyle name="Moneda [0] 11" xfId="69" xr:uid="{00000000-0005-0000-0000-00002F000000}"/>
    <cellStyle name="Moneda [0] 11 2" xfId="181" xr:uid="{00000000-0005-0000-0000-000030000000}"/>
    <cellStyle name="Moneda [0] 12" xfId="122" xr:uid="{00000000-0005-0000-0000-000031000000}"/>
    <cellStyle name="Moneda [0] 13" xfId="235" xr:uid="{00000000-0005-0000-0000-000032000000}"/>
    <cellStyle name="Moneda [0] 2" xfId="11" xr:uid="{00000000-0005-0000-0000-000033000000}"/>
    <cellStyle name="Moneda [0] 2 2" xfId="21" xr:uid="{00000000-0005-0000-0000-000034000000}"/>
    <cellStyle name="Moneda [0] 2 2 2" xfId="34" xr:uid="{00000000-0005-0000-0000-000035000000}"/>
    <cellStyle name="Moneda [0] 2 2 2 2" xfId="60" xr:uid="{00000000-0005-0000-0000-000036000000}"/>
    <cellStyle name="Moneda [0] 2 2 2 2 2" xfId="113" xr:uid="{00000000-0005-0000-0000-000037000000}"/>
    <cellStyle name="Moneda [0] 2 2 2 2 2 2" xfId="225" xr:uid="{00000000-0005-0000-0000-000038000000}"/>
    <cellStyle name="Moneda [0] 2 2 2 2 3" xfId="173" xr:uid="{00000000-0005-0000-0000-000039000000}"/>
    <cellStyle name="Moneda [0] 2 2 2 3" xfId="87" xr:uid="{00000000-0005-0000-0000-00003A000000}"/>
    <cellStyle name="Moneda [0] 2 2 2 3 2" xfId="199" xr:uid="{00000000-0005-0000-0000-00003B000000}"/>
    <cellStyle name="Moneda [0] 2 2 2 4" xfId="147" xr:uid="{00000000-0005-0000-0000-00003C000000}"/>
    <cellStyle name="Moneda [0] 2 2 3" xfId="47" xr:uid="{00000000-0005-0000-0000-00003D000000}"/>
    <cellStyle name="Moneda [0] 2 2 3 2" xfId="100" xr:uid="{00000000-0005-0000-0000-00003E000000}"/>
    <cellStyle name="Moneda [0] 2 2 3 2 2" xfId="212" xr:uid="{00000000-0005-0000-0000-00003F000000}"/>
    <cellStyle name="Moneda [0] 2 2 3 3" xfId="160" xr:uid="{00000000-0005-0000-0000-000040000000}"/>
    <cellStyle name="Moneda [0] 2 2 4" xfId="74" xr:uid="{00000000-0005-0000-0000-000041000000}"/>
    <cellStyle name="Moneda [0] 2 2 4 2" xfId="186" xr:uid="{00000000-0005-0000-0000-000042000000}"/>
    <cellStyle name="Moneda [0] 2 2 5" xfId="134" xr:uid="{00000000-0005-0000-0000-000043000000}"/>
    <cellStyle name="Moneda [0] 2 3" xfId="24" xr:uid="{00000000-0005-0000-0000-000044000000}"/>
    <cellStyle name="Moneda [0] 2 3 2" xfId="37" xr:uid="{00000000-0005-0000-0000-000045000000}"/>
    <cellStyle name="Moneda [0] 2 3 2 2" xfId="63" xr:uid="{00000000-0005-0000-0000-000046000000}"/>
    <cellStyle name="Moneda [0] 2 3 2 2 2" xfId="116" xr:uid="{00000000-0005-0000-0000-000047000000}"/>
    <cellStyle name="Moneda [0] 2 3 2 2 2 2" xfId="228" xr:uid="{00000000-0005-0000-0000-000048000000}"/>
    <cellStyle name="Moneda [0] 2 3 2 2 3" xfId="176" xr:uid="{00000000-0005-0000-0000-000049000000}"/>
    <cellStyle name="Moneda [0] 2 3 2 3" xfId="90" xr:uid="{00000000-0005-0000-0000-00004A000000}"/>
    <cellStyle name="Moneda [0] 2 3 2 3 2" xfId="202" xr:uid="{00000000-0005-0000-0000-00004B000000}"/>
    <cellStyle name="Moneda [0] 2 3 2 4" xfId="150" xr:uid="{00000000-0005-0000-0000-00004C000000}"/>
    <cellStyle name="Moneda [0] 2 3 3" xfId="50" xr:uid="{00000000-0005-0000-0000-00004D000000}"/>
    <cellStyle name="Moneda [0] 2 3 3 2" xfId="103" xr:uid="{00000000-0005-0000-0000-00004E000000}"/>
    <cellStyle name="Moneda [0] 2 3 3 2 2" xfId="215" xr:uid="{00000000-0005-0000-0000-00004F000000}"/>
    <cellStyle name="Moneda [0] 2 3 3 3" xfId="163" xr:uid="{00000000-0005-0000-0000-000050000000}"/>
    <cellStyle name="Moneda [0] 2 3 4" xfId="77" xr:uid="{00000000-0005-0000-0000-000051000000}"/>
    <cellStyle name="Moneda [0] 2 3 4 2" xfId="189" xr:uid="{00000000-0005-0000-0000-000052000000}"/>
    <cellStyle name="Moneda [0] 2 3 5" xfId="137" xr:uid="{00000000-0005-0000-0000-000053000000}"/>
    <cellStyle name="Moneda [0] 2 4" xfId="31" xr:uid="{00000000-0005-0000-0000-000054000000}"/>
    <cellStyle name="Moneda [0] 2 4 2" xfId="57" xr:uid="{00000000-0005-0000-0000-000055000000}"/>
    <cellStyle name="Moneda [0] 2 4 2 2" xfId="110" xr:uid="{00000000-0005-0000-0000-000056000000}"/>
    <cellStyle name="Moneda [0] 2 4 2 2 2" xfId="222" xr:uid="{00000000-0005-0000-0000-000057000000}"/>
    <cellStyle name="Moneda [0] 2 4 2 3" xfId="170" xr:uid="{00000000-0005-0000-0000-000058000000}"/>
    <cellStyle name="Moneda [0] 2 4 3" xfId="84" xr:uid="{00000000-0005-0000-0000-000059000000}"/>
    <cellStyle name="Moneda [0] 2 4 3 2" xfId="196" xr:uid="{00000000-0005-0000-0000-00005A000000}"/>
    <cellStyle name="Moneda [0] 2 4 4" xfId="144" xr:uid="{00000000-0005-0000-0000-00005B000000}"/>
    <cellStyle name="Moneda [0] 2 5" xfId="44" xr:uid="{00000000-0005-0000-0000-00005C000000}"/>
    <cellStyle name="Moneda [0] 2 5 2" xfId="97" xr:uid="{00000000-0005-0000-0000-00005D000000}"/>
    <cellStyle name="Moneda [0] 2 5 2 2" xfId="209" xr:uid="{00000000-0005-0000-0000-00005E000000}"/>
    <cellStyle name="Moneda [0] 2 5 3" xfId="157" xr:uid="{00000000-0005-0000-0000-00005F000000}"/>
    <cellStyle name="Moneda [0] 2 6" xfId="18" xr:uid="{00000000-0005-0000-0000-000060000000}"/>
    <cellStyle name="Moneda [0] 2 6 2" xfId="131" xr:uid="{00000000-0005-0000-0000-000061000000}"/>
    <cellStyle name="Moneda [0] 2 7" xfId="71" xr:uid="{00000000-0005-0000-0000-000062000000}"/>
    <cellStyle name="Moneda [0] 2 7 2" xfId="183" xr:uid="{00000000-0005-0000-0000-000063000000}"/>
    <cellStyle name="Moneda [0] 2 8" xfId="124" xr:uid="{00000000-0005-0000-0000-000064000000}"/>
    <cellStyle name="Moneda [0] 2 9" xfId="237" xr:uid="{00000000-0005-0000-0000-000065000000}"/>
    <cellStyle name="Moneda [0] 3" xfId="13" xr:uid="{00000000-0005-0000-0000-000066000000}"/>
    <cellStyle name="Moneda [0] 3 2" xfId="20" xr:uid="{00000000-0005-0000-0000-000067000000}"/>
    <cellStyle name="Moneda [0] 3 2 2" xfId="33" xr:uid="{00000000-0005-0000-0000-000068000000}"/>
    <cellStyle name="Moneda [0] 3 2 2 2" xfId="59" xr:uid="{00000000-0005-0000-0000-000069000000}"/>
    <cellStyle name="Moneda [0] 3 2 2 2 2" xfId="112" xr:uid="{00000000-0005-0000-0000-00006A000000}"/>
    <cellStyle name="Moneda [0] 3 2 2 2 2 2" xfId="224" xr:uid="{00000000-0005-0000-0000-00006B000000}"/>
    <cellStyle name="Moneda [0] 3 2 2 2 3" xfId="172" xr:uid="{00000000-0005-0000-0000-00006C000000}"/>
    <cellStyle name="Moneda [0] 3 2 2 3" xfId="86" xr:uid="{00000000-0005-0000-0000-00006D000000}"/>
    <cellStyle name="Moneda [0] 3 2 2 3 2" xfId="198" xr:uid="{00000000-0005-0000-0000-00006E000000}"/>
    <cellStyle name="Moneda [0] 3 2 2 4" xfId="146" xr:uid="{00000000-0005-0000-0000-00006F000000}"/>
    <cellStyle name="Moneda [0] 3 2 3" xfId="46" xr:uid="{00000000-0005-0000-0000-000070000000}"/>
    <cellStyle name="Moneda [0] 3 2 3 2" xfId="99" xr:uid="{00000000-0005-0000-0000-000071000000}"/>
    <cellStyle name="Moneda [0] 3 2 3 2 2" xfId="211" xr:uid="{00000000-0005-0000-0000-000072000000}"/>
    <cellStyle name="Moneda [0] 3 2 3 3" xfId="159" xr:uid="{00000000-0005-0000-0000-000073000000}"/>
    <cellStyle name="Moneda [0] 3 2 4" xfId="73" xr:uid="{00000000-0005-0000-0000-000074000000}"/>
    <cellStyle name="Moneda [0] 3 2 4 2" xfId="185" xr:uid="{00000000-0005-0000-0000-000075000000}"/>
    <cellStyle name="Moneda [0] 3 2 5" xfId="133" xr:uid="{00000000-0005-0000-0000-000076000000}"/>
    <cellStyle name="Moneda [0] 3 3" xfId="23" xr:uid="{00000000-0005-0000-0000-000077000000}"/>
    <cellStyle name="Moneda [0] 3 3 2" xfId="36" xr:uid="{00000000-0005-0000-0000-000078000000}"/>
    <cellStyle name="Moneda [0] 3 3 2 2" xfId="62" xr:uid="{00000000-0005-0000-0000-000079000000}"/>
    <cellStyle name="Moneda [0] 3 3 2 2 2" xfId="115" xr:uid="{00000000-0005-0000-0000-00007A000000}"/>
    <cellStyle name="Moneda [0] 3 3 2 2 2 2" xfId="227" xr:uid="{00000000-0005-0000-0000-00007B000000}"/>
    <cellStyle name="Moneda [0] 3 3 2 2 3" xfId="175" xr:uid="{00000000-0005-0000-0000-00007C000000}"/>
    <cellStyle name="Moneda [0] 3 3 2 3" xfId="89" xr:uid="{00000000-0005-0000-0000-00007D000000}"/>
    <cellStyle name="Moneda [0] 3 3 2 3 2" xfId="201" xr:uid="{00000000-0005-0000-0000-00007E000000}"/>
    <cellStyle name="Moneda [0] 3 3 2 4" xfId="149" xr:uid="{00000000-0005-0000-0000-00007F000000}"/>
    <cellStyle name="Moneda [0] 3 3 3" xfId="49" xr:uid="{00000000-0005-0000-0000-000080000000}"/>
    <cellStyle name="Moneda [0] 3 3 3 2" xfId="102" xr:uid="{00000000-0005-0000-0000-000081000000}"/>
    <cellStyle name="Moneda [0] 3 3 3 2 2" xfId="214" xr:uid="{00000000-0005-0000-0000-000082000000}"/>
    <cellStyle name="Moneda [0] 3 3 3 3" xfId="162" xr:uid="{00000000-0005-0000-0000-000083000000}"/>
    <cellStyle name="Moneda [0] 3 3 4" xfId="76" xr:uid="{00000000-0005-0000-0000-000084000000}"/>
    <cellStyle name="Moneda [0] 3 3 4 2" xfId="188" xr:uid="{00000000-0005-0000-0000-000085000000}"/>
    <cellStyle name="Moneda [0] 3 3 5" xfId="136" xr:uid="{00000000-0005-0000-0000-000086000000}"/>
    <cellStyle name="Moneda [0] 3 4" xfId="30" xr:uid="{00000000-0005-0000-0000-000087000000}"/>
    <cellStyle name="Moneda [0] 3 4 2" xfId="56" xr:uid="{00000000-0005-0000-0000-000088000000}"/>
    <cellStyle name="Moneda [0] 3 4 2 2" xfId="109" xr:uid="{00000000-0005-0000-0000-000089000000}"/>
    <cellStyle name="Moneda [0] 3 4 2 2 2" xfId="221" xr:uid="{00000000-0005-0000-0000-00008A000000}"/>
    <cellStyle name="Moneda [0] 3 4 2 3" xfId="169" xr:uid="{00000000-0005-0000-0000-00008B000000}"/>
    <cellStyle name="Moneda [0] 3 4 3" xfId="83" xr:uid="{00000000-0005-0000-0000-00008C000000}"/>
    <cellStyle name="Moneda [0] 3 4 3 2" xfId="195" xr:uid="{00000000-0005-0000-0000-00008D000000}"/>
    <cellStyle name="Moneda [0] 3 4 4" xfId="143" xr:uid="{00000000-0005-0000-0000-00008E000000}"/>
    <cellStyle name="Moneda [0] 3 5" xfId="43" xr:uid="{00000000-0005-0000-0000-00008F000000}"/>
    <cellStyle name="Moneda [0] 3 5 2" xfId="96" xr:uid="{00000000-0005-0000-0000-000090000000}"/>
    <cellStyle name="Moneda [0] 3 5 2 2" xfId="208" xr:uid="{00000000-0005-0000-0000-000091000000}"/>
    <cellStyle name="Moneda [0] 3 5 3" xfId="156" xr:uid="{00000000-0005-0000-0000-000092000000}"/>
    <cellStyle name="Moneda [0] 3 6" xfId="17" xr:uid="{00000000-0005-0000-0000-000093000000}"/>
    <cellStyle name="Moneda [0] 3 6 2" xfId="130" xr:uid="{00000000-0005-0000-0000-000094000000}"/>
    <cellStyle name="Moneda [0] 3 7" xfId="70" xr:uid="{00000000-0005-0000-0000-000095000000}"/>
    <cellStyle name="Moneda [0] 3 7 2" xfId="182" xr:uid="{00000000-0005-0000-0000-000096000000}"/>
    <cellStyle name="Moneda [0] 3 8" xfId="126" xr:uid="{00000000-0005-0000-0000-000097000000}"/>
    <cellStyle name="Moneda [0] 4" xfId="15" xr:uid="{00000000-0005-0000-0000-000098000000}"/>
    <cellStyle name="Moneda [0] 4 2" xfId="32" xr:uid="{00000000-0005-0000-0000-000099000000}"/>
    <cellStyle name="Moneda [0] 4 2 2" xfId="58" xr:uid="{00000000-0005-0000-0000-00009A000000}"/>
    <cellStyle name="Moneda [0] 4 2 2 2" xfId="111" xr:uid="{00000000-0005-0000-0000-00009B000000}"/>
    <cellStyle name="Moneda [0] 4 2 2 2 2" xfId="223" xr:uid="{00000000-0005-0000-0000-00009C000000}"/>
    <cellStyle name="Moneda [0] 4 2 2 3" xfId="171" xr:uid="{00000000-0005-0000-0000-00009D000000}"/>
    <cellStyle name="Moneda [0] 4 2 3" xfId="85" xr:uid="{00000000-0005-0000-0000-00009E000000}"/>
    <cellStyle name="Moneda [0] 4 2 3 2" xfId="197" xr:uid="{00000000-0005-0000-0000-00009F000000}"/>
    <cellStyle name="Moneda [0] 4 2 4" xfId="145" xr:uid="{00000000-0005-0000-0000-0000A0000000}"/>
    <cellStyle name="Moneda [0] 4 3" xfId="45" xr:uid="{00000000-0005-0000-0000-0000A1000000}"/>
    <cellStyle name="Moneda [0] 4 3 2" xfId="98" xr:uid="{00000000-0005-0000-0000-0000A2000000}"/>
    <cellStyle name="Moneda [0] 4 3 2 2" xfId="210" xr:uid="{00000000-0005-0000-0000-0000A3000000}"/>
    <cellStyle name="Moneda [0] 4 3 3" xfId="158" xr:uid="{00000000-0005-0000-0000-0000A4000000}"/>
    <cellStyle name="Moneda [0] 4 4" xfId="19" xr:uid="{00000000-0005-0000-0000-0000A5000000}"/>
    <cellStyle name="Moneda [0] 4 4 2" xfId="132" xr:uid="{00000000-0005-0000-0000-0000A6000000}"/>
    <cellStyle name="Moneda [0] 4 5" xfId="72" xr:uid="{00000000-0005-0000-0000-0000A7000000}"/>
    <cellStyle name="Moneda [0] 4 5 2" xfId="184" xr:uid="{00000000-0005-0000-0000-0000A8000000}"/>
    <cellStyle name="Moneda [0] 4 6" xfId="128" xr:uid="{00000000-0005-0000-0000-0000A9000000}"/>
    <cellStyle name="Moneda [0] 5" xfId="22" xr:uid="{00000000-0005-0000-0000-0000AA000000}"/>
    <cellStyle name="Moneda [0] 5 2" xfId="35" xr:uid="{00000000-0005-0000-0000-0000AB000000}"/>
    <cellStyle name="Moneda [0] 5 2 2" xfId="61" xr:uid="{00000000-0005-0000-0000-0000AC000000}"/>
    <cellStyle name="Moneda [0] 5 2 2 2" xfId="114" xr:uid="{00000000-0005-0000-0000-0000AD000000}"/>
    <cellStyle name="Moneda [0] 5 2 2 2 2" xfId="226" xr:uid="{00000000-0005-0000-0000-0000AE000000}"/>
    <cellStyle name="Moneda [0] 5 2 2 3" xfId="174" xr:uid="{00000000-0005-0000-0000-0000AF000000}"/>
    <cellStyle name="Moneda [0] 5 2 3" xfId="88" xr:uid="{00000000-0005-0000-0000-0000B0000000}"/>
    <cellStyle name="Moneda [0] 5 2 3 2" xfId="200" xr:uid="{00000000-0005-0000-0000-0000B1000000}"/>
    <cellStyle name="Moneda [0] 5 2 4" xfId="148" xr:uid="{00000000-0005-0000-0000-0000B2000000}"/>
    <cellStyle name="Moneda [0] 5 3" xfId="48" xr:uid="{00000000-0005-0000-0000-0000B3000000}"/>
    <cellStyle name="Moneda [0] 5 3 2" xfId="101" xr:uid="{00000000-0005-0000-0000-0000B4000000}"/>
    <cellStyle name="Moneda [0] 5 3 2 2" xfId="213" xr:uid="{00000000-0005-0000-0000-0000B5000000}"/>
    <cellStyle name="Moneda [0] 5 3 3" xfId="161" xr:uid="{00000000-0005-0000-0000-0000B6000000}"/>
    <cellStyle name="Moneda [0] 5 4" xfId="75" xr:uid="{00000000-0005-0000-0000-0000B7000000}"/>
    <cellStyle name="Moneda [0] 5 4 2" xfId="187" xr:uid="{00000000-0005-0000-0000-0000B8000000}"/>
    <cellStyle name="Moneda [0] 5 5" xfId="135" xr:uid="{00000000-0005-0000-0000-0000B9000000}"/>
    <cellStyle name="Moneda [0] 6" xfId="26" xr:uid="{00000000-0005-0000-0000-0000BA000000}"/>
    <cellStyle name="Moneda [0] 6 2" xfId="39" xr:uid="{00000000-0005-0000-0000-0000BB000000}"/>
    <cellStyle name="Moneda [0] 6 2 2" xfId="65" xr:uid="{00000000-0005-0000-0000-0000BC000000}"/>
    <cellStyle name="Moneda [0] 6 2 2 2" xfId="118" xr:uid="{00000000-0005-0000-0000-0000BD000000}"/>
    <cellStyle name="Moneda [0] 6 2 2 2 2" xfId="230" xr:uid="{00000000-0005-0000-0000-0000BE000000}"/>
    <cellStyle name="Moneda [0] 6 2 2 3" xfId="178" xr:uid="{00000000-0005-0000-0000-0000BF000000}"/>
    <cellStyle name="Moneda [0] 6 2 3" xfId="92" xr:uid="{00000000-0005-0000-0000-0000C0000000}"/>
    <cellStyle name="Moneda [0] 6 2 3 2" xfId="204" xr:uid="{00000000-0005-0000-0000-0000C1000000}"/>
    <cellStyle name="Moneda [0] 6 2 4" xfId="152" xr:uid="{00000000-0005-0000-0000-0000C2000000}"/>
    <cellStyle name="Moneda [0] 6 3" xfId="52" xr:uid="{00000000-0005-0000-0000-0000C3000000}"/>
    <cellStyle name="Moneda [0] 6 3 2" xfId="105" xr:uid="{00000000-0005-0000-0000-0000C4000000}"/>
    <cellStyle name="Moneda [0] 6 3 2 2" xfId="217" xr:uid="{00000000-0005-0000-0000-0000C5000000}"/>
    <cellStyle name="Moneda [0] 6 3 3" xfId="165" xr:uid="{00000000-0005-0000-0000-0000C6000000}"/>
    <cellStyle name="Moneda [0] 6 4" xfId="79" xr:uid="{00000000-0005-0000-0000-0000C7000000}"/>
    <cellStyle name="Moneda [0] 6 4 2" xfId="191" xr:uid="{00000000-0005-0000-0000-0000C8000000}"/>
    <cellStyle name="Moneda [0] 6 5" xfId="139" xr:uid="{00000000-0005-0000-0000-0000C9000000}"/>
    <cellStyle name="Moneda [0] 7" xfId="28" xr:uid="{00000000-0005-0000-0000-0000CA000000}"/>
    <cellStyle name="Moneda [0] 7 2" xfId="41" xr:uid="{00000000-0005-0000-0000-0000CB000000}"/>
    <cellStyle name="Moneda [0] 7 2 2" xfId="67" xr:uid="{00000000-0005-0000-0000-0000CC000000}"/>
    <cellStyle name="Moneda [0] 7 2 2 2" xfId="120" xr:uid="{00000000-0005-0000-0000-0000CD000000}"/>
    <cellStyle name="Moneda [0] 7 2 2 2 2" xfId="232" xr:uid="{00000000-0005-0000-0000-0000CE000000}"/>
    <cellStyle name="Moneda [0] 7 2 2 3" xfId="180" xr:uid="{00000000-0005-0000-0000-0000CF000000}"/>
    <cellStyle name="Moneda [0] 7 2 3" xfId="94" xr:uid="{00000000-0005-0000-0000-0000D0000000}"/>
    <cellStyle name="Moneda [0] 7 2 3 2" xfId="206" xr:uid="{00000000-0005-0000-0000-0000D1000000}"/>
    <cellStyle name="Moneda [0] 7 2 4" xfId="154" xr:uid="{00000000-0005-0000-0000-0000D2000000}"/>
    <cellStyle name="Moneda [0] 7 3" xfId="54" xr:uid="{00000000-0005-0000-0000-0000D3000000}"/>
    <cellStyle name="Moneda [0] 7 3 2" xfId="107" xr:uid="{00000000-0005-0000-0000-0000D4000000}"/>
    <cellStyle name="Moneda [0] 7 3 2 2" xfId="219" xr:uid="{00000000-0005-0000-0000-0000D5000000}"/>
    <cellStyle name="Moneda [0] 7 3 3" xfId="167" xr:uid="{00000000-0005-0000-0000-0000D6000000}"/>
    <cellStyle name="Moneda [0] 7 4" xfId="81" xr:uid="{00000000-0005-0000-0000-0000D7000000}"/>
    <cellStyle name="Moneda [0] 7 4 2" xfId="193" xr:uid="{00000000-0005-0000-0000-0000D8000000}"/>
    <cellStyle name="Moneda [0] 7 5" xfId="141" xr:uid="{00000000-0005-0000-0000-0000D9000000}"/>
    <cellStyle name="Moneda [0] 8" xfId="29" xr:uid="{00000000-0005-0000-0000-0000DA000000}"/>
    <cellStyle name="Moneda [0] 8 2" xfId="55" xr:uid="{00000000-0005-0000-0000-0000DB000000}"/>
    <cellStyle name="Moneda [0] 8 2 2" xfId="108" xr:uid="{00000000-0005-0000-0000-0000DC000000}"/>
    <cellStyle name="Moneda [0] 8 2 2 2" xfId="220" xr:uid="{00000000-0005-0000-0000-0000DD000000}"/>
    <cellStyle name="Moneda [0] 8 2 3" xfId="168" xr:uid="{00000000-0005-0000-0000-0000DE000000}"/>
    <cellStyle name="Moneda [0] 8 3" xfId="82" xr:uid="{00000000-0005-0000-0000-0000DF000000}"/>
    <cellStyle name="Moneda [0] 8 3 2" xfId="194" xr:uid="{00000000-0005-0000-0000-0000E0000000}"/>
    <cellStyle name="Moneda [0] 8 4" xfId="142" xr:uid="{00000000-0005-0000-0000-0000E1000000}"/>
    <cellStyle name="Moneda [0] 9" xfId="42" xr:uid="{00000000-0005-0000-0000-0000E2000000}"/>
    <cellStyle name="Moneda [0] 9 2" xfId="95" xr:uid="{00000000-0005-0000-0000-0000E3000000}"/>
    <cellStyle name="Moneda [0] 9 2 2" xfId="207" xr:uid="{00000000-0005-0000-0000-0000E4000000}"/>
    <cellStyle name="Moneda [0] 9 3" xfId="155" xr:uid="{00000000-0005-0000-0000-0000E5000000}"/>
    <cellStyle name="Normal" xfId="0" builtinId="0"/>
    <cellStyle name="Normal 10" xfId="5" xr:uid="{00000000-0005-0000-0000-0000E7000000}"/>
    <cellStyle name="Normal 2 2" xfId="233" xr:uid="{00000000-0005-0000-0000-0000E8000000}"/>
    <cellStyle name="Normal 2 2 3" xfId="241" xr:uid="{AD641BB8-1469-42EC-B4E6-2E55C9B9E2CC}"/>
    <cellStyle name="Normal 2 3" xfId="2" xr:uid="{00000000-0005-0000-0000-0000E9000000}"/>
    <cellStyle name="Normal 4" xfId="238" xr:uid="{57CFE73C-BE79-4ECF-B7AA-327EB6BA76F3}"/>
    <cellStyle name="Normal 4 2" xfId="240" xr:uid="{4EE93239-0A6E-4FEB-A234-61923C040E65}"/>
    <cellStyle name="Percent Complete" xfId="3" xr:uid="{00000000-0005-0000-0000-0000EA000000}"/>
    <cellStyle name="Period Headers" xfId="9" xr:uid="{00000000-0005-0000-0000-0000EB000000}"/>
    <cellStyle name="Period Highlight Control" xfId="6" xr:uid="{00000000-0005-0000-0000-0000EC000000}"/>
    <cellStyle name="Porcentaje" xfId="242" builtinId="5"/>
    <cellStyle name="Project Headers" xfId="8" xr:uid="{00000000-0005-0000-0000-0000ED000000}"/>
    <cellStyle name="Título 1 2" xfId="7" xr:uid="{00000000-0005-0000-0000-0000EE000000}"/>
  </cellStyles>
  <dxfs count="2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ertAlign val="baseline"/>
        <sz val="14"/>
        <color rgb="FF0000FF"/>
        <name val="Calibri"/>
        <scheme val="minor"/>
      </font>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9"/>
        <color theme="1"/>
        <name val="Calibri"/>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alignment horizontal="left" vertical="center"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5" tint="0.39997558519241921"/>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scheme val="none"/>
      </font>
      <numFmt numFmtId="0" formatCode="General"/>
      <fill>
        <patternFill patternType="solid">
          <fgColor indexed="64"/>
          <bgColor theme="0"/>
        </patternFill>
      </fill>
      <alignment horizontal="left" vertical="center" textRotation="0" wrapText="0" indent="1"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dxf>
    <dxf>
      <font>
        <b/>
        <i val="0"/>
        <strike val="0"/>
        <condense val="0"/>
        <extend val="0"/>
        <outline val="0"/>
        <shadow val="0"/>
        <u val="none"/>
        <vertAlign val="baseline"/>
        <sz val="10"/>
        <color theme="0"/>
        <name val="Calibri"/>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b/>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Calibri Light"/>
        <family val="2"/>
        <scheme val="maj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Calibri Light"/>
        <family val="2"/>
        <scheme val="major"/>
      </font>
      <fill>
        <patternFill patternType="none">
          <fgColor indexed="64"/>
          <bgColor indexed="65"/>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family val="2"/>
        <scheme val="minor"/>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none"/>
      </font>
      <numFmt numFmtId="169" formatCode="d/mm/yyyy"/>
      <alignment horizontal="center" vertical="center" textRotation="0" wrapText="0" indent="0" justifyLastLine="0" shrinkToFit="0" readingOrder="0"/>
    </dxf>
    <dxf>
      <font>
        <b val="0"/>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auto="1"/>
        <name val="Calibri Light"/>
        <family val="2"/>
        <scheme val="none"/>
      </font>
      <alignment horizontal="center" vertical="center" textRotation="0" wrapText="0" indent="0" justifyLastLine="0" shrinkToFit="0" readingOrder="0"/>
    </dxf>
    <dxf>
      <border outline="0">
        <top style="medium">
          <color indexed="64"/>
        </top>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4" tint="-0.249977111117893"/>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30" formatCode="@"/>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1" formatCode="0"/>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0"/>
        <color auto="1"/>
        <name val="Calibri Light"/>
        <family val="2"/>
        <scheme val="major"/>
      </font>
      <numFmt numFmtId="30" formatCode="@"/>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Light"/>
        <family val="2"/>
        <scheme val="major"/>
      </font>
      <fill>
        <patternFill patternType="solid">
          <fgColor indexed="64"/>
          <bgColor theme="9" tint="0.39997558519241921"/>
        </patternFill>
      </fill>
      <alignment horizontal="general" vertical="bottom" textRotation="0" wrapText="0" indent="0" justifyLastLine="0" shrinkToFit="0" readingOrder="0"/>
      <border diagonalUp="0" diagonalDown="0">
        <left style="dashDotDot">
          <color theme="9" tint="-0.249977111117893"/>
        </left>
        <right style="dashDotDot">
          <color theme="9" tint="-0.249977111117893"/>
        </right>
        <top style="dashDotDot">
          <color theme="9" tint="-0.249977111117893"/>
        </top>
        <bottom style="dashDotDot">
          <color theme="9" tint="-0.249977111117893"/>
        </bottom>
        <vertical/>
        <horizontal/>
      </border>
      <protection locked="1" hidden="0"/>
    </dxf>
    <dxf>
      <border outline="0">
        <bottom style="medium">
          <color indexed="64"/>
        </bottom>
      </border>
    </dxf>
    <dxf>
      <border outline="0">
        <top style="thin">
          <color indexed="64"/>
        </top>
        <bottom style="thin">
          <color indexed="64"/>
        </bottom>
      </border>
    </dxf>
    <dxf>
      <font>
        <b val="0"/>
        <i val="0"/>
        <strike val="0"/>
        <condense val="0"/>
        <extend val="0"/>
        <outline val="0"/>
        <shadow val="0"/>
        <u val="none"/>
        <vertAlign val="baseline"/>
        <sz val="10"/>
        <color auto="1"/>
        <name val="Calibri Light"/>
        <family val="2"/>
        <scheme val="major"/>
      </font>
      <fill>
        <patternFill patternType="none">
          <fgColor indexed="64"/>
          <bgColor indexed="65"/>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tint="0.79998168889431442"/>
        </patternFill>
      </fill>
      <border>
        <left style="thin">
          <color theme="9" tint="-0.24994659260841701"/>
        </left>
        <right style="thin">
          <color theme="9" tint="-0.24994659260841701"/>
        </right>
        <bottom style="thin">
          <color theme="7"/>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bgColor theme="3" tint="0.79998168889431442"/>
        </patternFill>
      </fill>
      <border>
        <left style="thin">
          <color theme="9" tint="-0.24994659260841701"/>
        </left>
        <right style="thin">
          <color theme="9" tint="-0.24994659260841701"/>
        </right>
        <bottom style="thin">
          <color theme="7"/>
        </bottom>
      </border>
    </dxf>
    <dxf>
      <fill>
        <patternFill>
          <bgColor theme="0"/>
        </patternFill>
      </fill>
      <border>
        <left style="dotted">
          <color rgb="FF1E9D8B"/>
        </left>
        <right style="dotted">
          <color rgb="FF1E9D8B"/>
        </right>
        <top style="dotted">
          <color rgb="FF1E9D8B"/>
        </top>
        <bottom style="dotted">
          <color rgb="FF1E9D8B"/>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ill>
        <patternFill>
          <bgColor theme="0"/>
        </patternFill>
      </fill>
      <border>
        <left style="dotted">
          <color rgb="FF279989"/>
        </left>
        <right style="dotted">
          <color rgb="FF279989"/>
        </right>
        <top style="dotted">
          <color rgb="FF279989"/>
        </top>
        <bottom style="dotted">
          <color rgb="FF279989"/>
        </bottom>
      </border>
    </dxf>
    <dxf>
      <fill>
        <patternFill patternType="solid">
          <fgColor theme="0"/>
          <bgColor theme="3" tint="0.79998168889431442"/>
        </patternFill>
      </fill>
      <border>
        <left style="thin">
          <color theme="9" tint="-0.24994659260841701"/>
        </left>
        <right style="thin">
          <color theme="9" tint="-0.24994659260841701"/>
        </right>
        <bottom style="thin">
          <color theme="9" tint="0.59996337778862885"/>
        </bottom>
      </border>
    </dxf>
    <dxf>
      <fill>
        <patternFill patternType="lightUp">
          <fgColor theme="7"/>
          <bgColor indexed="65"/>
        </patternFill>
      </fill>
      <border>
        <bottom style="thin">
          <color theme="0"/>
        </bottom>
      </border>
    </dxf>
    <dxf>
      <fill>
        <patternFill patternType="lightUp">
          <fgColor rgb="FFC00000"/>
          <bgColor theme="5" tint="0.79998168889431442"/>
        </patternFill>
      </fill>
      <border>
        <bottom style="thin">
          <color theme="0"/>
        </bottom>
      </border>
    </dxf>
    <dxf>
      <fill>
        <patternFill patternType="lightUp">
          <fgColor rgb="FF279989"/>
          <bgColor theme="9" tint="0.79995117038483843"/>
        </patternFill>
      </fill>
      <border>
        <bottom style="thin">
          <color theme="0"/>
        </bottom>
      </border>
    </dxf>
    <dxf>
      <fill>
        <patternFill patternType="solid">
          <fgColor indexed="64"/>
          <bgColor rgb="FFC00000"/>
        </patternFill>
      </fill>
      <border>
        <bottom style="thin">
          <color theme="0"/>
        </bottom>
      </border>
    </dxf>
    <dxf>
      <fill>
        <patternFill patternType="solid">
          <fgColor indexed="64"/>
          <bgColor theme="8" tint="-0.24994659260841701"/>
        </patternFill>
      </fill>
      <border>
        <bottom style="thin">
          <color theme="0"/>
        </bottom>
      </border>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1FF2D"/>
      <color rgb="FF5BFB63"/>
      <color rgb="FFD6FA00"/>
      <color rgb="FFC2E200"/>
      <color rgb="FFEEFF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84" Type="http://schemas.openxmlformats.org/officeDocument/2006/relationships/externalLink" Target="externalLinks/externalLink72.xml"/><Relationship Id="rId89" Type="http://schemas.microsoft.com/office/2017/10/relationships/person" Target="persons/person.xml"/><Relationship Id="rId16" Type="http://schemas.openxmlformats.org/officeDocument/2006/relationships/externalLink" Target="externalLinks/externalLink4.xml"/><Relationship Id="rId11" Type="http://schemas.openxmlformats.org/officeDocument/2006/relationships/worksheet" Target="worksheets/sheet11.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74" Type="http://schemas.openxmlformats.org/officeDocument/2006/relationships/externalLink" Target="externalLinks/externalLink62.xml"/><Relationship Id="rId79"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calcChain" Target="calcChain.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93"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46" Type="http://schemas.openxmlformats.org/officeDocument/2006/relationships/externalLink" Target="externalLinks/externalLink34.xml"/><Relationship Id="rId59" Type="http://schemas.openxmlformats.org/officeDocument/2006/relationships/externalLink" Target="externalLinks/externalLink47.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54" Type="http://schemas.openxmlformats.org/officeDocument/2006/relationships/externalLink" Target="externalLinks/externalLink42.xml"/><Relationship Id="rId62" Type="http://schemas.openxmlformats.org/officeDocument/2006/relationships/externalLink" Target="externalLinks/externalLink50.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83" Type="http://schemas.openxmlformats.org/officeDocument/2006/relationships/externalLink" Target="externalLinks/externalLink71.xml"/><Relationship Id="rId88" Type="http://schemas.openxmlformats.org/officeDocument/2006/relationships/sharedStrings" Target="sharedStrings.xml"/><Relationship Id="rId9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81" Type="http://schemas.openxmlformats.org/officeDocument/2006/relationships/externalLink" Target="externalLinks/externalLink69.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customXml" Target="../customXml/item2.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styles" Target="styles.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s>
</file>

<file path=xl/ctrlProps/ctrlProp1.xml><?xml version="1.0" encoding="utf-8"?>
<formControlPr xmlns="http://schemas.microsoft.com/office/spreadsheetml/2009/9/main" objectType="Spin" dx="16" fmlaLink="período_seleccionado" max="52" min="1" page="10" val="3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52</xdr:col>
          <xdr:colOff>0</xdr:colOff>
          <xdr:row>1</xdr:row>
          <xdr:rowOff>7620</xdr:rowOff>
        </xdr:from>
        <xdr:to>
          <xdr:col>53</xdr:col>
          <xdr:colOff>7620</xdr:colOff>
          <xdr:row>1</xdr:row>
          <xdr:rowOff>266700</xdr:rowOff>
        </xdr:to>
        <xdr:sp macro="" textlink="">
          <xdr:nvSpPr>
            <xdr:cNvPr id="20481" name="Número 5" descr="Control circular de resaltado de período"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28</xdr:col>
      <xdr:colOff>246530</xdr:colOff>
      <xdr:row>0</xdr:row>
      <xdr:rowOff>1</xdr:rowOff>
    </xdr:from>
    <xdr:to>
      <xdr:col>33</xdr:col>
      <xdr:colOff>134695</xdr:colOff>
      <xdr:row>2</xdr:row>
      <xdr:rowOff>170778</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523"/>
        <a:stretch/>
      </xdr:blipFill>
      <xdr:spPr>
        <a:xfrm>
          <a:off x="25908001" y="1"/>
          <a:ext cx="1714500" cy="425824"/>
        </a:xfrm>
        <a:prstGeom prst="rect">
          <a:avLst/>
        </a:prstGeom>
      </xdr:spPr>
    </xdr:pic>
    <xdr:clientData/>
  </xdr:twoCellAnchor>
  <xdr:twoCellAnchor>
    <xdr:from>
      <xdr:col>1</xdr:col>
      <xdr:colOff>1255060</xdr:colOff>
      <xdr:row>0</xdr:row>
      <xdr:rowOff>0</xdr:rowOff>
    </xdr:from>
    <xdr:to>
      <xdr:col>1</xdr:col>
      <xdr:colOff>3339354</xdr:colOff>
      <xdr:row>1</xdr:row>
      <xdr:rowOff>201706</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1" y="0"/>
          <a:ext cx="2084294" cy="358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926447</xdr:colOff>
      <xdr:row>0</xdr:row>
      <xdr:rowOff>65834</xdr:rowOff>
    </xdr:from>
    <xdr:to>
      <xdr:col>0</xdr:col>
      <xdr:colOff>2325837</xdr:colOff>
      <xdr:row>3</xdr:row>
      <xdr:rowOff>59530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47" y="65834"/>
          <a:ext cx="1399390" cy="80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1785938</xdr:colOff>
      <xdr:row>0</xdr:row>
      <xdr:rowOff>190500</xdr:rowOff>
    </xdr:from>
    <xdr:to>
      <xdr:col>35</xdr:col>
      <xdr:colOff>3200713</xdr:colOff>
      <xdr:row>3</xdr:row>
      <xdr:rowOff>85330</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0523"/>
        <a:stretch/>
      </xdr:blipFill>
      <xdr:spPr>
        <a:xfrm>
          <a:off x="29265563" y="190500"/>
          <a:ext cx="1414775" cy="7044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264583</xdr:colOff>
      <xdr:row>0</xdr:row>
      <xdr:rowOff>52916</xdr:rowOff>
    </xdr:from>
    <xdr:to>
      <xdr:col>2</xdr:col>
      <xdr:colOff>542140</xdr:colOff>
      <xdr:row>1</xdr:row>
      <xdr:rowOff>104820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0" y="52916"/>
          <a:ext cx="1399390" cy="80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497417</xdr:colOff>
      <xdr:row>0</xdr:row>
      <xdr:rowOff>222249</xdr:rowOff>
    </xdr:from>
    <xdr:to>
      <xdr:col>24</xdr:col>
      <xdr:colOff>1107858</xdr:colOff>
      <xdr:row>1</xdr:row>
      <xdr:rowOff>175287</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0523"/>
        <a:stretch/>
      </xdr:blipFill>
      <xdr:spPr>
        <a:xfrm>
          <a:off x="21674667" y="222249"/>
          <a:ext cx="1414775" cy="7044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20DISTRI\INVMANUAL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47.121.0.177\programa%20de%20produccion\INVMANUA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7.121.0.177\programa%20de%20produccion\INV%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95678ECE\INVMANUAL2A.XLS"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MANUAL2A.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MANUAL2A.XLS?458762C4" TargetMode="External"/><Relationship Id="rId1" Type="http://schemas.openxmlformats.org/officeDocument/2006/relationships/externalLinkPath" Target="file:///\\458762C4\INVMANUAL2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MANUAL2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MANUAL2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95678ECE\INVENTARIO%20DIARIO.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ENTARIO%20DIARIO.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ENTARIO%20DIARIO.xls?458762C4" TargetMode="External"/><Relationship Id="rId1" Type="http://schemas.openxmlformats.org/officeDocument/2006/relationships/externalLinkPath" Target="file:///\\458762C4\INVENTARIO%20DIARI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ENTARIO%20DIARI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ENTARIO%20DIARI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20DISTRI\IN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rmas/CATALINA/COLOMBIA/REG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47.121.0.177\programa%20de%20produccion\Archivos%20Recibidos\INVMANUAL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5678ECE\MAO2-NUEVO.XLS"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MAO2-NUEVO.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MAO2-NUEVO.XLS?458762C4" TargetMode="External"/><Relationship Id="rId1" Type="http://schemas.openxmlformats.org/officeDocument/2006/relationships/externalLinkPath" Target="file:///\\458762C4\MAO2-NUEVO.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MAO2-NUEV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MAO2-NUEV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Documents%20and%20Settings/All%20Users/Documentos/ACTAS/INVMANUAL2.XLS" TargetMode="External"/><Relationship Id="rId2" Type="http://schemas.microsoft.com/office/2019/04/relationships/externalLinkLongPath" Target="/BackUp%20Isabel/ING01/1.PRODUCTIVIDAD/10.%20ESTRUCTURA%20DEL%20&#193;REA/12.%20PLANES%20DE%20W/1.%20PLAN%20DE%20TRABAJO%20ISA%202016/PLAN%20DE%20TRABAJO_ISA/PLANEACION/VENTAS/Documents%20and%20Settings/All%20Users/Documentos/ACTAS/INVMANUAL2.XLS?9AC1108D" TargetMode="External"/><Relationship Id="rId1" Type="http://schemas.openxmlformats.org/officeDocument/2006/relationships/externalLinkPath" Target="file:///\\9AC1108D\INVMANUAL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Documents%20and%20Settings\All%20Users\Documentos\ACTAS\INVMANUAL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Archivos%20Recibidos\INV%20DISTRI\INVENTARIO%20DIARIO1.xls"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ENTARIO%20DIARIO1.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ENTARIO%20DIARIO1.xls?458762C4" TargetMode="External"/><Relationship Id="rId1" Type="http://schemas.openxmlformats.org/officeDocument/2006/relationships/externalLinkPath" Target="file:///\\458762C4\INVENTARIO%20DIARIO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ENTARIO%20DIARIO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ENTARIO%20DIARIO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95678ECE\MAO2.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BackUp%20Isabel/ING01/1.PRODUCTIVIDAD/10.%20ESTRUCTURA%20DEL%20&#193;REA/12.%20PLANES%20DE%20W/1.%20PLAN%20DE%20TRABAJO%20ISA%202016/PLAN%20DE%20TRABAJO_ISA/PLANEACION/VENTAS/Archivos%20Recibidos/INV%20DISTRI/MAO2.XLS" TargetMode="External"/><Relationship Id="rId1" Type="http://schemas.openxmlformats.org/officeDocument/2006/relationships/externalLinkPath" Target="/BackUp%20Isabel/ING01/1.PRODUCTIVIDAD/10.%20ESTRUCTURA%20DEL%20&#193;REA/12.%20PLANES%20DE%20W/1.%20PLAN%20DE%20TRABAJO%20ISA%202016/PLAN%20DE%20TRABAJO_ISA/PLANEACION/VENTAS/Archivos%20Recibidos/INV%20DISTRI/MAO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MAO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MAO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ersonal%20issues\finanzas%20personales\personal\archivo%20finanzas%20personales\finanzas%20personales%20201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personal%20issues\finanzas%20personales\Ingresos%20e%20Inversiones\Fondo%20de%20Inversion\Proyecto%20Fondo%20de%20Inversion.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ers/IPOR00333/Desktop/NOTIFICACION%20PAROS-1.xlsm" TargetMode="External"/><Relationship Id="rId1" Type="http://schemas.openxmlformats.org/officeDocument/2006/relationships/externalLinkPath" Target="/Users/IPOR00333/Desktop/NOTIFICACION%20PAROS-1.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IPOR00333\Desktop\NOTIFICACION%20PAROS-1.xlsm"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IPOR00333\Desktop\NOTIFICACION%20PAROS-1.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14702771\Documents\PRESUPUESTO%202018\ORDENES-PLANES%20PREVENTIVO%202015.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Users/14702771/Documents/PRESUPUESTO%202018/ORDENES-PLANES%20PREVENTIVO%202015.xlsx" TargetMode="External"/><Relationship Id="rId1" Type="http://schemas.openxmlformats.org/officeDocument/2006/relationships/externalLinkPath" Target="/Users/14702771/Documents/PRESUPUESTO%202018/ORDENES-PLANES%20PREVENTIVO%202015.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sers\14702771\Documents\PRESUPUESTO%202018\ORDENES-PLANES%20PREVENTIVO%202015.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JEFE-PDT\0.%20CARGILL\NOTIFICACIONES%20DE%20PARO%20CENTROAMERICA\SLN%20DE%20PROBLEMAS%20-%2021-SEP-17.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Carpetas%20Varias%2002/Alejandro%20Vargas%20A/2005/Informes/Alturas/Informe%20alturas/CRONOGRAMA%20ENTREGA%20DE%20UNIFORMES2.xls" TargetMode="External"/><Relationship Id="rId1" Type="http://schemas.openxmlformats.org/officeDocument/2006/relationships/externalLinkPath" Target="/Carpetas%20Varias%2002/Alejandro%20Vargas%20A/2005/Informes/Alturas/Informe%20alturas/CRONOGRAMA%20ENTREGA%20DE%20UNIFORMES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Carpetas%20Varias%2002\Alejandro%20Vargas%20A\2005\Informes\Alturas\Informe%20alturas\CRONOGRAMA%20ENTREGA%20DE%20UNIFORMES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Carpetas%20Varias%2002\Alejandro%20Vargas%20A\2005\Informes\Alturas\Informe%20alturas\CRONOGRAMA%20ENTREGA%20DE%20UNIFORMES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47.121.0.177\programa%20de%20produccion\PROVISIONAL\PLANEACION\LEM\Piedad\INVMANUAL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Users\USER\Documents\SEGUIMIENTO%20PERSONAL\SUPERVISORES\SUPERVISORE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0838FC4F\INVMANUAL2A.XLS" TargetMode="External"/></Relationships>
</file>

<file path=xl/externalLinks/_rels/externalLink46.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COMPRAS/INVMANUAL2A.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COMPRAS/INVMANUAL2A.XLS?760CF4C1" TargetMode="External"/><Relationship Id="rId1" Type="http://schemas.openxmlformats.org/officeDocument/2006/relationships/externalLinkPath" Target="file:///\\760CF4C1\INVMANUAL2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COMPRAS\INVMANUAL2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COMPRAS\INVMANUAL2A.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Alejandro%20Vargas%20Avila/Bancolombia/Formatos/Programacion%20de%20brigadas%20Bancolombia%202.xls" TargetMode="External"/><Relationship Id="rId1" Type="http://schemas.openxmlformats.org/officeDocument/2006/relationships/externalLinkPath" Target="/Alejandro%20Vargas%20Avila/Bancolombia/Formatos/Programacion%20de%20brigadas%20Bancolombia%2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Alejandro%20Vargas%20Avila\Bancolombia\Formatos\Programacion%20de%20brigadas%20Bancolombia%2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Alejandro%20Vargas%20Avila\Bancolombia\Formatos\Programacion%20de%20brigadas%20Bancolombia%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95678ECE\INVMANUAL2.XLS" TargetMode="External"/></Relationships>
</file>

<file path=xl/externalLinks/_rels/externalLink53.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Archivos%20Recibidos/INV%20DISTRI/INVMANUAL2.XLS" TargetMode="External"/><Relationship Id="rId2" Type="http://schemas.microsoft.com/office/2019/04/relationships/externalLinkLongPath" Target="/BackUp%20Isabel/ING01/1.PRODUCTIVIDAD/10.%20ESTRUCTURA%20DEL%20&#193;REA/12.%20PLANES%20DE%20W/1.%20PLAN%20DE%20TRABAJO%20ISA%202016/PLAN%20DE%20TRABAJO_ISA/PLANEACION/VENTAS/Archivos%20Recibidos/INV%20DISTRI/INVMANUAL2.XLS?458762C4" TargetMode="External"/><Relationship Id="rId1" Type="http://schemas.openxmlformats.org/officeDocument/2006/relationships/externalLinkPath" Target="file:///\\458762C4\INVMANUAL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Archivos%20Recibidos\INV%20DISTRI\INVMANUAL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Archivos%20Recibidos\INV%20DISTRI\INVMANUAL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57.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Documents%20and%20Settings/All%20Users/Documentos/INVMANUAL2.XLS" TargetMode="External"/><Relationship Id="rId2" Type="http://schemas.microsoft.com/office/2019/04/relationships/externalLinkLongPath" Target="/BackUp%20Isabel/ING01/1.PRODUCTIVIDAD/10.%20ESTRUCTURA%20DEL%20&#193;REA/12.%20PLANES%20DE%20W/1.%20PLAN%20DE%20TRABAJO%20ISA%202016/PLAN%20DE%20TRABAJO_ISA/PLANEACION/VENTAS/Documents%20and%20Settings/All%20Users/Documentos/INVMANUAL2.XLS?CA41C2FA" TargetMode="External"/><Relationship Id="rId1" Type="http://schemas.openxmlformats.org/officeDocument/2006/relationships/externalLinkPath" Target="file:///\\CA41C2FA\INVMANUAL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Documents%20and%20Settings\All%20Users\Documentos\INVMANUAL2.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Jenifer%20Moreno/Escritorio/MBC%20MDO%20DEF.xlsb" TargetMode="External"/><Relationship Id="rId1" Type="http://schemas.openxmlformats.org/officeDocument/2006/relationships/externalLinkPath" Target="/Jenifer%20Moreno/Escritorio/MBC%20MDO%20DEF.xlsb"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Jenifer%20Moreno\Escritorio\MBC%20MDO%20DEF.xlsb"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Jenifer%20Moreno\Escritorio\MBC%20MDO%20DEF.xlsb"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Alejandro%20Vargas%20Avila/Bancolombia/Formatos/Programacion%20de%20visitas%20Bancolombia.xls" TargetMode="External"/><Relationship Id="rId1" Type="http://schemas.openxmlformats.org/officeDocument/2006/relationships/externalLinkPath" Target="/Alejandro%20Vargas%20Avila/Bancolombia/Formatos/Programacion%20de%20visitas%20Bancolombi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Alejandro%20Vargas%20Avila\Bancolombia\Formatos\Programacion%20de%20visitas%20Bancolombi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lejandro%20Vargas%20Avila\Bancolombia\Formatos\Programacion%20de%20visitas%20Bancolombi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SUMMAR%20PROCESOS_2\PLANEACION\CRONOGRAMAS\Cronograma%20Pro.%20Enero%202019.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EA4B30F\CONSOLIDADO%20PLANEACION%20PD1.xls" TargetMode="External"/></Relationships>
</file>

<file path=xl/externalLinks/_rels/externalLink68.xml.rels><?xml version="1.0" encoding="UTF-8" standalone="yes"?>
<Relationships xmlns="http://schemas.openxmlformats.org/package/2006/relationships"><Relationship Id="rId3" Type="http://schemas.openxmlformats.org/officeDocument/2006/relationships/externalLinkPath" Target="../../../../../../../BackUp%20Isabel/ING01/1.PRODUCTIVIDAD/10.%20ESTRUCTURA%20DEL%20&#193;REA/12.%20PLANES%20DE%20W/1.%20PLAN%20DE%20TRABAJO%20ISA%202016/PLAN%20DE%20TRABAJO_ISA/PLANEACION/VENTAS/GESTION%20AL%20CLIENTE/CONSOLIDADO%20PLANEACION%20PD1.xls" TargetMode="External"/><Relationship Id="rId2" Type="http://schemas.microsoft.com/office/2019/04/relationships/externalLinkLongPath" Target="/BackUp%20Isabel/ING01/1.PRODUCTIVIDAD/10.%20ESTRUCTURA%20DEL%20&#193;REA/12.%20PLANES%20DE%20W/1.%20PLAN%20DE%20TRABAJO%20ISA%202016/PLAN%20DE%20TRABAJO_ISA/PLANEACION/VENTAS/GESTION%20AL%20CLIENTE/CONSOLIDADO%20PLANEACION%20PD1.xls?68B9FEAF" TargetMode="External"/><Relationship Id="rId1" Type="http://schemas.openxmlformats.org/officeDocument/2006/relationships/externalLinkPath" Target="file:///\\68B9FEAF\CONSOLIDADO%20PLANEACION%20PD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BackUp%20Isabel\ING01\1.PRODUCTIVIDAD\10.%20ESTRUCTURA%20DEL%20&#193;REA\12.%20PLANES%20DE%20W\1.%20PLAN%20DE%20TRABAJO%20ISA%202016\PLAN%20DE%20TRABAJO_ISA\PLANEACION\VENTAS\GESTION%20AL%20CLIENTE\CONSOLIDADO%20PLANEACION%20PD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BackUp%20Isabel\ING01\1.PRODUCTIVIDAD\10.%20ESTRUCTURA%20DEL%20&#193;REA\12.%20PLANES%20DE%20W\1.%20PLAN%20DE%20TRABAJO%20ISA%202016\PLAN%20DE%20TRABAJO_ISA\PLANEACION\VENTAS\GESTION%20AL%20CLIENTE\CONSOLIDADO%20PLANEACION%20PD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AD5FA52\INV%20MANUAL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6E724746\INV%20MANUAL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Users\Brayan%20Villegas\Documents\SUMMAR%20PROCESOS_2\MANTENIMIENTO%20PROGRAMADO\CRONOGRAMAS%20DE%20MTTO%20PROGRAMADO%20MOVIL\CRONOGRAMAS%20FINAL\2021\05-Brayan%20Cronograma%20Prog.%20MAYO%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FORMATO"/>
      <sheetName val="Hoja1"/>
      <sheetName val="TABLAS"/>
      <sheetName val="DESCRIPCIÓN"/>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 val="TABLA-VENTAS"/>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APU"/>
      <sheetName val="FORMATO APU"/>
      <sheetName val="APU_NUEVOS"/>
      <sheetName val="APU CABAÑA"/>
      <sheetName val="COMPARA_ANTERIOR1"/>
      <sheetName val="INVENTARIO_COPIA1"/>
      <sheetName val="INV_SISTEMA1"/>
      <sheetName val="COMPARA_ANTERIOR"/>
      <sheetName val="INVENTARIO_COPIA"/>
      <sheetName val="INV_SISTEMA"/>
      <sheetName val="COMPARA_ANTERIOR4"/>
      <sheetName val="INVENTARIO_COPIA4"/>
      <sheetName val="INV_SISTEMA4"/>
      <sheetName val="FORMATO_APU1"/>
      <sheetName val="APU_CABAÑA1"/>
      <sheetName val="COMPARA_ANTERIOR2"/>
      <sheetName val="INVENTARIO_COPIA2"/>
      <sheetName val="INV_SISTEMA2"/>
      <sheetName val="COMPARA_ANTERIOR3"/>
      <sheetName val="INVENTARIO_COPIA3"/>
      <sheetName val="INV_SISTEMA3"/>
      <sheetName val="FORMATO_APU"/>
      <sheetName val="APU_CABAÑA"/>
      <sheetName val="TABLA_VENTA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Tabla Hor. Normal"/>
      <sheetName val="TD_HN"/>
      <sheetName val="Tabla Hor. Extendido"/>
      <sheetName val="TD_HE"/>
      <sheetName val="SUCURSALES BANCOLOMBIA "/>
      <sheetName val="MICROFINANZAS"/>
      <sheetName val="sucursales por region"/>
      <sheetName val="sucursales a la fecha"/>
      <sheetName val="Definicion de Tipologia"/>
      <sheetName val="oficinas banca especializada"/>
      <sheetName val="Aperturas y cierres"/>
      <sheetName val="unico banco"/>
      <sheetName val="Cajeros y buzones"/>
      <sheetName val="# Oficinas Competencia Dic2001 "/>
      <sheetName val="# Oficinas Competencia Dic 2002"/>
      <sheetName val="# oficinas competencia 2003"/>
      <sheetName val="RED SUCURSALES"/>
      <sheetName val="Tarifas Aseo"/>
      <sheetName val="Tarifas"/>
      <sheetName val="da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RED SUCURSALES"/>
      <sheetName val="COMPARA_ANTERIOR"/>
      <sheetName val="INVENTARIO_COPIA"/>
      <sheetName val="INV_SISTEMA"/>
      <sheetName val="RED_SUCURSALES"/>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sheetData sheetId="11"/>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gatrends "/>
      <sheetName val="Pendientes U"/>
      <sheetName val="Pendientes Personales"/>
      <sheetName val="Felicidad"/>
      <sheetName val="2012 Calendar"/>
      <sheetName val="BPPA"/>
      <sheetName val="Tarjeta VISA"/>
      <sheetName val="Financial Profile"/>
      <sheetName val="Nomina"/>
      <sheetName val="Diversification"/>
      <sheetName val="Spot Month Expenses"/>
      <sheetName val="Ecopetrol Acciones"/>
      <sheetName val="Valores Bancolombia"/>
      <sheetName val="Polizas Seguros"/>
      <sheetName val="Loan Calculator"/>
      <sheetName val="CV tipo new"/>
      <sheetName val="Integral Sallary"/>
      <sheetName val="Tasas de Interes"/>
      <sheetName val="JOB Search"/>
      <sheetName val="Bank comparative"/>
      <sheetName val="Predial"/>
      <sheetName val="Consejos"/>
      <sheetName val="pension&amp;cesantias"/>
      <sheetName val="millas avianca"/>
      <sheetName val="millas airfrance"/>
      <sheetName val="Datacredito"/>
      <sheetName val="Retirement Budget"/>
      <sheetName val="Estrategia Renta apartaestudios"/>
      <sheetName val="Personal Web sites"/>
      <sheetName val="Estrategia"/>
      <sheetName val="Control Gastos Aptos 2012"/>
      <sheetName val="Indemnizacion2012"/>
      <sheetName val="DATOS"/>
      <sheetName val="Megatrends_"/>
      <sheetName val="Pendientes_U"/>
      <sheetName val="Pendientes_Personales"/>
      <sheetName val="2012_Calendar"/>
      <sheetName val="Tarjeta_VISA"/>
      <sheetName val="Financial_Profile"/>
      <sheetName val="Spot_Month_Expenses"/>
      <sheetName val="Ecopetrol_Acciones"/>
      <sheetName val="Valores_Bancolombia"/>
      <sheetName val="Polizas_Seguros"/>
      <sheetName val="Loan_Calculator"/>
      <sheetName val="CV_tipo_new"/>
      <sheetName val="Integral_Sallary"/>
      <sheetName val="Tasas_de_Interes"/>
      <sheetName val="JOB_Search"/>
      <sheetName val="Bank_comparative"/>
      <sheetName val="millas_avianca"/>
      <sheetName val="millas_airfrance"/>
      <sheetName val="Retirement_Budget"/>
      <sheetName val="Estrategia_Renta_apartaestudios"/>
      <sheetName val="Personal_Web_sites"/>
      <sheetName val="Control_Gastos_Aptos_2012"/>
      <sheetName val="Tablero"/>
      <sheetName val="Base de datos"/>
      <sheetName val="Tablero Reporte Semana"/>
      <sheetName val="BD Grafico Tendencia"/>
      <sheetName val="Reporte Semana BD"/>
      <sheetName val="Backlog"/>
      <sheetName val="Tablero de control oportunidad"/>
      <sheetName val="Tablero Ejecucion y Cierre "/>
      <sheetName val="INFORME"/>
      <sheetName val="Dinamica Grafica"/>
      <sheetName val="Grafica zonas "/>
      <sheetName val="Informe Semanal"/>
      <sheetName val="Seguimiento avisos atrasados"/>
      <sheetName val="Analisis de pilares "/>
      <sheetName val="INFORME SEMANA"/>
      <sheetName val="Grafica Avisos"/>
      <sheetName val="SEDES "/>
      <sheetName val="DATA"/>
      <sheetName val="Avisos C"/>
      <sheetName val="ANS"/>
      <sheetName val="STATUS"/>
      <sheetName val="Codifica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egia &amp; Reglas"/>
      <sheetName val="Megatrends "/>
      <sheetName val="Project Ideas (Pipeline)"/>
      <sheetName val="Evaluated Projects"/>
      <sheetName val="Graphical - Plot"/>
      <sheetName val="Estrategia_&amp;_Reglas"/>
      <sheetName val="Megatrends_"/>
      <sheetName val="Project_Ideas_(Pipeline)"/>
      <sheetName val="Evaluated_Projects"/>
      <sheetName val="Graphical_-_Plot"/>
      <sheetName val="Tablero"/>
      <sheetName val="Base de datos"/>
      <sheetName val="Tablero Reporte Semana"/>
      <sheetName val="BD Grafico Tendencia"/>
      <sheetName val="Reporte Semana BD"/>
      <sheetName val="Backlog"/>
      <sheetName val="Tablero de control oportunidad"/>
      <sheetName val="Tablero Ejecucion y Cierre "/>
      <sheetName val="INFORME"/>
      <sheetName val="Dinamica Grafica"/>
      <sheetName val="Grafica zonas "/>
      <sheetName val="Informe Semanal"/>
      <sheetName val="Seguimiento avisos atrasados"/>
      <sheetName val="Analisis de pilares "/>
      <sheetName val="INFORME SEMANA"/>
      <sheetName val="Grafica Avisos"/>
      <sheetName val="SEDES "/>
      <sheetName val="DATA"/>
      <sheetName val="Avisos C"/>
      <sheetName val="ANS"/>
      <sheetName val="STATUS"/>
      <sheetName val="Codificacion"/>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emanas FY"/>
      <sheetName val="00. Cargue V"/>
      <sheetName val="0. Datos"/>
      <sheetName val="1. Paros a notif"/>
      <sheetName val="1.1 BD-Segui"/>
      <sheetName val="2. Formato N"/>
      <sheetName val="2.1 BD-General"/>
      <sheetName val="2.2 BD-PA"/>
      <sheetName val="DESAPILADOR"/>
      <sheetName val="Evisceradora"/>
      <sheetName val="ULMA10"/>
      <sheetName val="EVISCERADORA 14 11 17"/>
      <sheetName val="DESPRESADORA PERNIL"/>
      <sheetName val="DESPRESE 29 11 2017"/>
      <sheetName val="FALLA ENERGIA TUNEL CONTINUO#1"/>
      <sheetName val="EVISCERADORA 18 12 2107"/>
      <sheetName val="DESAPILADOR 11 01 2018"/>
      <sheetName val="EVISCERADORA 12 01 2018"/>
      <sheetName val="FUGA AGUA CHILLER PATAS 120118"/>
      <sheetName val="EVISCERADORA 18 01 2018"/>
      <sheetName val="LINEA EVISCERACION 18 01 2018"/>
      <sheetName val="EVISCERADORA 20 01 2018"/>
      <sheetName val="EVISCERADORA 20 01 2018 (2)"/>
      <sheetName val="TOMBLER PLUMA 15 01 2018"/>
      <sheetName val="BOMBA DE PLUMA 15 01 2018"/>
      <sheetName val="BANDA DESPRESDORA #2 16 01 2018"/>
      <sheetName val="LINEA EVISCERACION 22 01 2018"/>
      <sheetName val="DESAPILADOR 22 01 2018"/>
      <sheetName val="DESPRESADORA #1 19 01 2018"/>
      <sheetName val="EVISCERADORA 24 01 2018"/>
      <sheetName val="IQF 29 01 2018"/>
      <sheetName val="DESCOLGADOR 29 01 2018"/>
      <sheetName val="DESAPILADOR 30 01 2018"/>
      <sheetName val="DESPRESADORA AUT #1 31 01 2018"/>
      <sheetName val="BANDA CHILLER 18 02 2018"/>
      <sheetName val=" MOLINO ORINCE 21 02 2018"/>
      <sheetName val="EVISCERADORA 24 02 2018"/>
      <sheetName val="DESPRESADORA AUT#2 21 02 2018"/>
      <sheetName val="EVISCERACION 27 02 2018"/>
      <sheetName val="DESPREASDORA AUT#2 02 02 2018"/>
      <sheetName val="DSEPRESADORA AUT#2 03 02 2018"/>
      <sheetName val="DESRESADORA AUT #1 06 02 2018"/>
      <sheetName val="CHILLERS 01 03 2018"/>
      <sheetName val="DESP AUT#1 03 03 2018"/>
      <sheetName val="BANDA COLGADO 06 03 18"/>
      <sheetName val="DAÑO CAMION SUBPRODUCTOS 05 03 "/>
      <sheetName val="3.1 TD-GRAL"/>
      <sheetName val="NOTIFICACION PAROS-1"/>
      <sheetName val="00__Semanas_FY1"/>
      <sheetName val="00__Cargue_V1"/>
      <sheetName val="0__Datos1"/>
      <sheetName val="1__Paros_a_notif1"/>
      <sheetName val="1_1_BD-Segui1"/>
      <sheetName val="2__Formato_N1"/>
      <sheetName val="2_1_BD-General1"/>
      <sheetName val="2_2_BD-PA1"/>
      <sheetName val="EVISCERADORA_14_11_171"/>
      <sheetName val="DESPRESADORA_PERNIL1"/>
      <sheetName val="DESPRESE_29_11_20171"/>
      <sheetName val="FALLA_ENERGIA_TUNEL_CONTINUO#11"/>
      <sheetName val="EVISCERADORA_18_12_21071"/>
      <sheetName val="DESAPILADOR_11_01_20181"/>
      <sheetName val="EVISCERADORA_12_01_20181"/>
      <sheetName val="FUGA_AGUA_CHILLER_PATAS_1201181"/>
      <sheetName val="EVISCERADORA_18_01_20181"/>
      <sheetName val="LINEA_EVISCERACION_18_01_20181"/>
      <sheetName val="EVISCERADORA_20_01_20181"/>
      <sheetName val="EVISCERADORA_20_01_2018_(2)1"/>
      <sheetName val="TOMBLER_PLUMA_15_01_20181"/>
      <sheetName val="BOMBA_DE_PLUMA_15_01_20181"/>
      <sheetName val="BANDA_DESPRESDORA_#2_16_01_2011"/>
      <sheetName val="LINEA_EVISCERACION_22_01_20181"/>
      <sheetName val="DESAPILADOR_22_01_20181"/>
      <sheetName val="DESPRESADORA_#1_19_01_20181"/>
      <sheetName val="EVISCERADORA_24_01_20181"/>
      <sheetName val="IQF_29_01_20181"/>
      <sheetName val="DESCOLGADOR_29_01_20181"/>
      <sheetName val="DESAPILADOR_30_01_20181"/>
      <sheetName val="DESPRESADORA_AUT_#1_31_01_20181"/>
      <sheetName val="BANDA_CHILLER_18_02_20181"/>
      <sheetName val="_MOLINO_ORINCE_21_02_20181"/>
      <sheetName val="EVISCERADORA_24_02_20181"/>
      <sheetName val="DESPRESADORA_AUT#2_21_02_20181"/>
      <sheetName val="EVISCERACION_27_02_20181"/>
      <sheetName val="DESPREASDORA_AUT#2_02_02_20181"/>
      <sheetName val="DSEPRESADORA_AUT#2_03_02_20181"/>
      <sheetName val="DESRESADORA_AUT_#1_06_02_20181"/>
      <sheetName val="CHILLERS_01_03_20181"/>
      <sheetName val="DESP_AUT#1_03_03_20181"/>
      <sheetName val="BANDA_COLGADO_06_03_181"/>
      <sheetName val="DAÑO_CAMION_SUBPRODUCTOS_05_031"/>
      <sheetName val="3_1_TD-GRAL1"/>
      <sheetName val="NOTIFICACION_PAROS-11"/>
      <sheetName val="00__Semanas_FY"/>
      <sheetName val="00__Cargue_V"/>
      <sheetName val="0__Datos"/>
      <sheetName val="1__Paros_a_notif"/>
      <sheetName val="1_1_BD-Segui"/>
      <sheetName val="2__Formato_N"/>
      <sheetName val="2_1_BD-General"/>
      <sheetName val="2_2_BD-PA"/>
      <sheetName val="EVISCERADORA_14_11_17"/>
      <sheetName val="DESPRESADORA_PERNIL"/>
      <sheetName val="DESPRESE_29_11_2017"/>
      <sheetName val="FALLA_ENERGIA_TUNEL_CONTINUO#1"/>
      <sheetName val="EVISCERADORA_18_12_2107"/>
      <sheetName val="DESAPILADOR_11_01_2018"/>
      <sheetName val="EVISCERADORA_12_01_2018"/>
      <sheetName val="FUGA_AGUA_CHILLER_PATAS_120118"/>
      <sheetName val="EVISCERADORA_18_01_2018"/>
      <sheetName val="LINEA_EVISCERACION_18_01_2018"/>
      <sheetName val="EVISCERADORA_20_01_2018"/>
      <sheetName val="EVISCERADORA_20_01_2018_(2)"/>
      <sheetName val="TOMBLER_PLUMA_15_01_2018"/>
      <sheetName val="BOMBA_DE_PLUMA_15_01_2018"/>
      <sheetName val="BANDA_DESPRESDORA_#2_16_01_2018"/>
      <sheetName val="LINEA_EVISCERACION_22_01_2018"/>
      <sheetName val="DESAPILADOR_22_01_2018"/>
      <sheetName val="DESPRESADORA_#1_19_01_2018"/>
      <sheetName val="EVISCERADORA_24_01_2018"/>
      <sheetName val="IQF_29_01_2018"/>
      <sheetName val="DESCOLGADOR_29_01_2018"/>
      <sheetName val="DESAPILADOR_30_01_2018"/>
      <sheetName val="DESPRESADORA_AUT_#1_31_01_2018"/>
      <sheetName val="BANDA_CHILLER_18_02_2018"/>
      <sheetName val="_MOLINO_ORINCE_21_02_2018"/>
      <sheetName val="EVISCERADORA_24_02_2018"/>
      <sheetName val="DESPRESADORA_AUT#2_21_02_2018"/>
      <sheetName val="EVISCERACION_27_02_2018"/>
      <sheetName val="DESPREASDORA_AUT#2_02_02_2018"/>
      <sheetName val="DSEPRESADORA_AUT#2_03_02_2018"/>
      <sheetName val="DESRESADORA_AUT_#1_06_02_2018"/>
      <sheetName val="CHILLERS_01_03_2018"/>
      <sheetName val="DESP_AUT#1_03_03_2018"/>
      <sheetName val="BANDA_COLGADO_06_03_18"/>
      <sheetName val="DAÑO_CAMION_SUBPRODUCTOS_05_03_"/>
      <sheetName val="3_1_TD-GRAL"/>
      <sheetName val="NOTIFICACION_PAROS-1"/>
      <sheetName val="00__Semanas_FY2"/>
      <sheetName val="00__Cargue_V2"/>
      <sheetName val="0__Datos2"/>
      <sheetName val="1__Paros_a_notif2"/>
      <sheetName val="1_1_BD-Segui2"/>
      <sheetName val="2__Formato_N2"/>
      <sheetName val="2_1_BD-General2"/>
      <sheetName val="2_2_BD-PA2"/>
      <sheetName val="EVISCERADORA_14_11_172"/>
      <sheetName val="DESPRESADORA_PERNIL2"/>
      <sheetName val="DESPRESE_29_11_20172"/>
      <sheetName val="FALLA_ENERGIA_TUNEL_CONTINUO#12"/>
      <sheetName val="EVISCERADORA_18_12_21072"/>
      <sheetName val="DESAPILADOR_11_01_20182"/>
      <sheetName val="EVISCERADORA_12_01_20182"/>
      <sheetName val="FUGA_AGUA_CHILLER_PATAS_1201182"/>
      <sheetName val="EVISCERADORA_18_01_20182"/>
      <sheetName val="LINEA_EVISCERACION_18_01_20182"/>
      <sheetName val="EVISCERADORA_20_01_20182"/>
      <sheetName val="EVISCERADORA_20_01_2018_(2)2"/>
      <sheetName val="TOMBLER_PLUMA_15_01_20182"/>
      <sheetName val="BOMBA_DE_PLUMA_15_01_20182"/>
      <sheetName val="BANDA_DESPRESDORA_#2_16_01_2012"/>
      <sheetName val="LINEA_EVISCERACION_22_01_20182"/>
      <sheetName val="DESAPILADOR_22_01_20182"/>
      <sheetName val="DESPRESADORA_#1_19_01_20182"/>
      <sheetName val="EVISCERADORA_24_01_20182"/>
      <sheetName val="IQF_29_01_20182"/>
      <sheetName val="DESCOLGADOR_29_01_20182"/>
      <sheetName val="DESAPILADOR_30_01_20182"/>
      <sheetName val="DESPRESADORA_AUT_#1_31_01_20182"/>
      <sheetName val="BANDA_CHILLER_18_02_20182"/>
      <sheetName val="_MOLINO_ORINCE_21_02_20182"/>
      <sheetName val="EVISCERADORA_24_02_20182"/>
      <sheetName val="DESPRESADORA_AUT#2_21_02_20182"/>
      <sheetName val="EVISCERACION_27_02_20182"/>
      <sheetName val="DESPREASDORA_AUT#2_02_02_20182"/>
      <sheetName val="DSEPRESADORA_AUT#2_03_02_20182"/>
      <sheetName val="DESRESADORA_AUT_#1_06_02_20182"/>
      <sheetName val="CHILLERS_01_03_20182"/>
      <sheetName val="DESP_AUT#1_03_03_20182"/>
      <sheetName val="BANDA_COLGADO_06_03_182"/>
      <sheetName val="DAÑO_CAMION_SUBPRODUCTOS_05_032"/>
      <sheetName val="3_1_TD-GRAL2"/>
      <sheetName val="NOTIFICACION_PAROS-12"/>
      <sheetName val="00__Semanas_FY3"/>
      <sheetName val="00__Cargue_V3"/>
      <sheetName val="0__Datos3"/>
      <sheetName val="1__Paros_a_notif3"/>
      <sheetName val="1_1_BD-Segui3"/>
      <sheetName val="2__Formato_N3"/>
      <sheetName val="2_1_BD-General3"/>
      <sheetName val="2_2_BD-PA3"/>
      <sheetName val="EVISCERADORA_14_11_173"/>
      <sheetName val="DESPRESADORA_PERNIL3"/>
      <sheetName val="DESPRESE_29_11_20173"/>
      <sheetName val="FALLA_ENERGIA_TUNEL_CONTINUO#13"/>
      <sheetName val="EVISCERADORA_18_12_21073"/>
      <sheetName val="DESAPILADOR_11_01_20183"/>
      <sheetName val="EVISCERADORA_12_01_20183"/>
      <sheetName val="FUGA_AGUA_CHILLER_PATAS_1201183"/>
      <sheetName val="EVISCERADORA_18_01_20183"/>
      <sheetName val="LINEA_EVISCERACION_18_01_20183"/>
      <sheetName val="EVISCERADORA_20_01_20183"/>
      <sheetName val="EVISCERADORA_20_01_2018_(2)3"/>
      <sheetName val="TOMBLER_PLUMA_15_01_20183"/>
      <sheetName val="BOMBA_DE_PLUMA_15_01_20183"/>
      <sheetName val="BANDA_DESPRESDORA_#2_16_01_2013"/>
      <sheetName val="LINEA_EVISCERACION_22_01_20183"/>
      <sheetName val="DESAPILADOR_22_01_20183"/>
      <sheetName val="DESPRESADORA_#1_19_01_20183"/>
      <sheetName val="EVISCERADORA_24_01_20183"/>
      <sheetName val="IQF_29_01_20183"/>
      <sheetName val="DESCOLGADOR_29_01_20183"/>
      <sheetName val="DESAPILADOR_30_01_20183"/>
      <sheetName val="DESPRESADORA_AUT_#1_31_01_20183"/>
      <sheetName val="BANDA_CHILLER_18_02_20183"/>
      <sheetName val="_MOLINO_ORINCE_21_02_20183"/>
      <sheetName val="EVISCERADORA_24_02_20183"/>
      <sheetName val="DESPRESADORA_AUT#2_21_02_20183"/>
      <sheetName val="EVISCERACION_27_02_20183"/>
      <sheetName val="DESPREASDORA_AUT#2_02_02_20183"/>
      <sheetName val="DSEPRESADORA_AUT#2_03_02_20183"/>
      <sheetName val="DESRESADORA_AUT_#1_06_02_20183"/>
      <sheetName val="CHILLERS_01_03_20183"/>
      <sheetName val="DESP_AUT#1_03_03_20183"/>
      <sheetName val="BANDA_COLGADO_06_03_183"/>
      <sheetName val="DAÑO_CAMION_SUBPRODUCTOS_05_033"/>
      <sheetName val="3_1_TD-GRAL3"/>
      <sheetName val="NOTIFICACION_PAROS-13"/>
      <sheetName val="00__Semanas_FY4"/>
      <sheetName val="00__Cargue_V4"/>
      <sheetName val="0__Datos4"/>
      <sheetName val="1__Paros_a_notif4"/>
      <sheetName val="1_1_BD-Segui4"/>
      <sheetName val="2__Formato_N4"/>
      <sheetName val="2_1_BD-General4"/>
      <sheetName val="2_2_BD-PA4"/>
      <sheetName val="EVISCERADORA_14_11_174"/>
      <sheetName val="DESPRESADORA_PERNIL4"/>
      <sheetName val="DESPRESE_29_11_20174"/>
      <sheetName val="FALLA_ENERGIA_TUNEL_CONTINUO#14"/>
      <sheetName val="EVISCERADORA_18_12_21074"/>
      <sheetName val="DESAPILADOR_11_01_20184"/>
      <sheetName val="EVISCERADORA_12_01_20184"/>
      <sheetName val="FUGA_AGUA_CHILLER_PATAS_1201184"/>
      <sheetName val="EVISCERADORA_18_01_20184"/>
      <sheetName val="LINEA_EVISCERACION_18_01_20184"/>
      <sheetName val="EVISCERADORA_20_01_20184"/>
      <sheetName val="EVISCERADORA_20_01_2018_(2)4"/>
      <sheetName val="TOMBLER_PLUMA_15_01_20184"/>
      <sheetName val="BOMBA_DE_PLUMA_15_01_20184"/>
      <sheetName val="BANDA_DESPRESDORA_#2_16_01_2014"/>
      <sheetName val="LINEA_EVISCERACION_22_01_20184"/>
      <sheetName val="DESAPILADOR_22_01_20184"/>
      <sheetName val="DESPRESADORA_#1_19_01_20184"/>
      <sheetName val="EVISCERADORA_24_01_20184"/>
      <sheetName val="IQF_29_01_20184"/>
      <sheetName val="DESCOLGADOR_29_01_20184"/>
      <sheetName val="DESAPILADOR_30_01_20184"/>
      <sheetName val="DESPRESADORA_AUT_#1_31_01_20184"/>
      <sheetName val="BANDA_CHILLER_18_02_20184"/>
      <sheetName val="_MOLINO_ORINCE_21_02_20184"/>
      <sheetName val="EVISCERADORA_24_02_20184"/>
      <sheetName val="DESPRESADORA_AUT#2_21_02_20184"/>
      <sheetName val="EVISCERACION_27_02_20184"/>
      <sheetName val="DESPREASDORA_AUT#2_02_02_20184"/>
      <sheetName val="DSEPRESADORA_AUT#2_03_02_20184"/>
      <sheetName val="DESRESADORA_AUT_#1_06_02_20184"/>
      <sheetName val="CHILLERS_01_03_20184"/>
      <sheetName val="DESP_AUT#1_03_03_20184"/>
      <sheetName val="BANDA_COLGADO_06_03_184"/>
      <sheetName val="DAÑO_CAMION_SUBPRODUCTOS_05_034"/>
      <sheetName val="3_1_TD-GRAL4"/>
      <sheetName val="NOTIFICACION_PAROS-14"/>
      <sheetName val="TABLA_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1"/>
      <sheetName val="Hoja2"/>
    </sheetNames>
    <sheetDataSet>
      <sheetData sheetId="0"/>
      <sheetData sheetId="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M FY"/>
      <sheetName val="CARGUE V"/>
      <sheetName val="DATOS"/>
      <sheetName val="FORMATO"/>
      <sheetName val="BD-General"/>
      <sheetName val="BD-PA"/>
      <sheetName val="PDF-V2"/>
      <sheetName val="INFORME"/>
      <sheetName val="TD-INFORME"/>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sheetName val="Crono Ent Insumos Enero 2005"/>
      <sheetName val="Crono Ent Dotacion I 2005"/>
    </sheetNames>
    <sheetDataSet>
      <sheetData sheetId="0"/>
      <sheetData sheetId="1"/>
      <sheetData sheetId="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1"/>
      <sheetName val="INVENTARIO_COPIA1"/>
      <sheetName val="INV_SISTEMA1"/>
      <sheetName val="COMPARA_ANTERIOR"/>
      <sheetName val="INVENTARIO_COPIA"/>
      <sheetName val="INV_SISTEMA"/>
      <sheetName val="COMPARA_ANTERIOR4"/>
      <sheetName val="INVENTARIO_COPIA4"/>
      <sheetName val="INV_SISTEMA4"/>
      <sheetName val="COMPARA_ANTERIOR2"/>
      <sheetName val="INVENTARIO_COPIA2"/>
      <sheetName val="INV_SISTEMA2"/>
      <sheetName val="COMPARA_ANTERIOR3"/>
      <sheetName val="INVENTARIO_COPIA3"/>
      <sheetName val="INV_SISTEMA3"/>
      <sheetName val="TABLA_VENTAS"/>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LMAR HIDALGO"/>
      <sheetName val="VICTOR ARREDONDO."/>
      <sheetName val="ALBERTO HURTADO"/>
      <sheetName val="WILMAR_HIDALGO1"/>
      <sheetName val="VICTOR_ARREDONDO_1"/>
      <sheetName val="ALBERTO_HURTADO1"/>
      <sheetName val="WILMAR_HIDALGO"/>
      <sheetName val="VICTOR_ARREDONDO_"/>
      <sheetName val="ALBERTO_HURTADO"/>
      <sheetName val="WILMAR_HIDALGO2"/>
      <sheetName val="VICTOR_ARREDONDO_2"/>
      <sheetName val="ALBERTO_HURTADO2"/>
      <sheetName val="WILMAR_HIDALGO3"/>
      <sheetName val="VICTOR_ARREDONDO_3"/>
      <sheetName val="ALBERTO_HURTADO3"/>
      <sheetName val="WILMAR_HIDALGO4"/>
      <sheetName val="VICTOR_ARREDONDO_4"/>
      <sheetName val="ALBERTO_HURTADO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Calendario"/>
      <sheetName val="Crono de trabajo Sodexho"/>
      <sheetName val="Hoja1"/>
    </sheetNames>
    <sheetDataSet>
      <sheetData sheetId="0" refreshError="1"/>
      <sheetData sheetId="1" refreshError="1"/>
      <sheetData sheetId="2"/>
      <sheetData sheetId="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s>
    <sheetDataSet>
      <sheetData sheetId="0"/>
      <sheetData sheetId="1"/>
      <sheetData sheetId="2"/>
      <sheetData sheetId="3"/>
      <sheetData sheetId="4"/>
      <sheetData sheetId="5"/>
      <sheetData sheetId="6"/>
      <sheetData sheetId="7"/>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_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as"/>
      <sheetName val="Resumen"/>
      <sheetName val="Resumen (2)"/>
      <sheetName val="MANO DE OBRA"/>
      <sheetName val="Plano Costo Brigadas"/>
      <sheetName val="Plano Brigadas NS y LN"/>
      <sheetName val="ND Brigadas"/>
      <sheetName val="Hoja1"/>
    </sheetNames>
    <sheetDataSet>
      <sheetData sheetId="0"/>
      <sheetData sheetId="1"/>
      <sheetData sheetId="2"/>
      <sheetData sheetId="3"/>
      <sheetData sheetId="4"/>
      <sheetData sheetId="5"/>
      <sheetData sheetId="6"/>
      <sheetData sheetId="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sheetName val="Indicador"/>
      <sheetName val="Sep 05"/>
      <sheetName val="Oct 05"/>
      <sheetName val="Nov 05"/>
      <sheetName val="Dic 05"/>
    </sheetNames>
    <sheetDataSet>
      <sheetData sheetId="0" refreshError="1"/>
      <sheetData sheetId="1"/>
      <sheetData sheetId="2"/>
      <sheetData sheetId="3"/>
      <sheetData sheetId="4"/>
      <sheetData sheetId="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o programado Enero 2019"/>
      <sheetName val="pendientes"/>
      <sheetName val="INDICADOR CUMPLIMIENTO"/>
      <sheetName val="Anexo 3  Summar"/>
      <sheetName val="Headcount-1"/>
      <sheetName val="CALCULO %"/>
      <sheetName val="pendiente de diciembre"/>
      <sheetName val="Cronograma Pro. Enero 2019"/>
    </sheetNames>
    <definedNames>
      <definedName name="ExcesoPorcentajeCompletado" refersTo="#REF!"/>
      <definedName name="PeríodoEnPlan" refersTo="#REF!" sheetId="4"/>
    </definedNames>
    <sheetDataSet>
      <sheetData sheetId="0"/>
      <sheetData sheetId="1"/>
      <sheetData sheetId="2"/>
      <sheetData sheetId="3"/>
      <sheetData sheetId="4"/>
      <sheetData sheetId="5"/>
      <sheetData sheetId="6" refreshError="1"/>
      <sheetData sheetId="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A CONSOLIDADA"/>
      <sheetName val="ARTICULO"/>
      <sheetName val="SEMANA"/>
      <sheetName val="RANGO X REF"/>
      <sheetName val="PRESENT X REF"/>
      <sheetName val="INV 5,8,9"/>
      <sheetName val="TB"/>
      <sheetName val="EP"/>
      <sheetName val="FACTURADO"/>
      <sheetName val="TOTAL INV"/>
      <sheetName val="Hoja3"/>
      <sheetName val="BDATOS"/>
      <sheetName val="Hoja5"/>
      <sheetName val="Hoja6"/>
      <sheetName val="CONSUMO"/>
      <sheetName val="CONSUPM"/>
      <sheetName val="BASE PM"/>
      <sheetName val="PEDIDOS DISTR"/>
      <sheetName val="MCIA RECB DE PD"/>
      <sheetName val="Datos de Inv"/>
      <sheetName val="HISTORICO"/>
      <sheetName val="PROGRAMACION"/>
      <sheetName val="Ventas Und"/>
      <sheetName val="Ventas % Part"/>
      <sheetName val="Hoja21"/>
      <sheetName val="PEDIDOS"/>
      <sheetName val="CONGELADO"/>
      <sheetName val="Hoja4"/>
      <sheetName val="% CUMPL"/>
      <sheetName val="T.P"/>
      <sheetName val="E.P PIE"/>
      <sheetName val="VISCERA"/>
      <sheetName val="Hoja8"/>
      <sheetName val="FILTRO"/>
      <sheetName val="Hoja1"/>
      <sheetName val="Hoja7"/>
      <sheetName val="Hoja12"/>
      <sheetName val="Hoja2"/>
      <sheetName val="VTA_CONSOLIDADA1"/>
      <sheetName val="RANGO_X_REF1"/>
      <sheetName val="PRESENT_X_REF1"/>
      <sheetName val="INV_5,8,91"/>
      <sheetName val="TOTAL_INV1"/>
      <sheetName val="BASE_PM1"/>
      <sheetName val="PEDIDOS_DISTR1"/>
      <sheetName val="MCIA_RECB_DE_PD1"/>
      <sheetName val="Datos_de_Inv1"/>
      <sheetName val="Ventas_Und1"/>
      <sheetName val="Ventas_%_Part1"/>
      <sheetName val="%_CUMPL1"/>
      <sheetName val="T_P1"/>
      <sheetName val="E_P_PIE1"/>
      <sheetName val="VTA_CONSOLIDADA"/>
      <sheetName val="RANGO_X_REF"/>
      <sheetName val="PRESENT_X_REF"/>
      <sheetName val="INV_5,8,9"/>
      <sheetName val="TOTAL_INV"/>
      <sheetName val="BASE_PM"/>
      <sheetName val="PEDIDOS_DISTR"/>
      <sheetName val="MCIA_RECB_DE_PD"/>
      <sheetName val="Datos_de_Inv"/>
      <sheetName val="Ventas_Und"/>
      <sheetName val="Ventas_%_Part"/>
      <sheetName val="%_CUMPL"/>
      <sheetName val="T_P"/>
      <sheetName val="E_P_PIE"/>
      <sheetName val="VTA_CONSOLIDADA2"/>
      <sheetName val="RANGO_X_REF2"/>
      <sheetName val="PRESENT_X_REF2"/>
      <sheetName val="INV_5,8,92"/>
      <sheetName val="TOTAL_INV2"/>
      <sheetName val="BASE_PM2"/>
      <sheetName val="PEDIDOS_DISTR2"/>
      <sheetName val="MCIA_RECB_DE_PD2"/>
      <sheetName val="Datos_de_Inv2"/>
      <sheetName val="Ventas_Und2"/>
      <sheetName val="Ventas_%_Part2"/>
      <sheetName val="%_CUMPL2"/>
      <sheetName val="T_P2"/>
      <sheetName val="E_P_PIE2"/>
      <sheetName val="VTA_CONSOLIDADA3"/>
      <sheetName val="RANGO_X_REF3"/>
      <sheetName val="PRESENT_X_REF3"/>
      <sheetName val="INV_5,8,93"/>
      <sheetName val="TOTAL_INV3"/>
      <sheetName val="BASE_PM3"/>
      <sheetName val="PEDIDOS_DISTR3"/>
      <sheetName val="MCIA_RECB_DE_PD3"/>
      <sheetName val="Datos_de_Inv3"/>
      <sheetName val="Ventas_Und3"/>
      <sheetName val="Ventas_%_Part3"/>
      <sheetName val="%_CUMPL3"/>
      <sheetName val="T_P3"/>
      <sheetName val="E_P_PIE3"/>
      <sheetName val="VTA_CONSOLIDADA4"/>
      <sheetName val="RANGO_X_REF4"/>
      <sheetName val="PRESENT_X_REF4"/>
      <sheetName val="INV_5,8,94"/>
      <sheetName val="TOTAL_INV4"/>
      <sheetName val="BASE_PM4"/>
      <sheetName val="PEDIDOS_DISTR4"/>
      <sheetName val="MCIA_RECB_DE_PD4"/>
      <sheetName val="Datos_de_Inv4"/>
      <sheetName val="Ventas_Und4"/>
      <sheetName val="Ventas_%_Part4"/>
      <sheetName val="%_CUMPL4"/>
      <sheetName val="T_P4"/>
      <sheetName val="E_P_PIE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
      <sheetName val="INVENTARIO_COPIA"/>
      <sheetName val="INV_SISTEM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OLLO"/>
      <sheetName val="LIQUI_POLLO"/>
      <sheetName val="COMPARA ANTERIOR"/>
      <sheetName val="INVENTARIO COPIA"/>
      <sheetName val="INV SISTEMA"/>
      <sheetName val="TABLA-VENTAS"/>
      <sheetName val="CONVER"/>
      <sheetName val="DATOS"/>
      <sheetName val="COMPARA_ANTERIOR"/>
      <sheetName val="INVENTARIO_COPIA"/>
      <sheetName val="INV_SISTEMA"/>
    </sheetNames>
    <sheetDataSet>
      <sheetData sheetId="0"/>
      <sheetData sheetId="1"/>
      <sheetData sheetId="2"/>
      <sheetData sheetId="3"/>
      <sheetData sheetId="4"/>
      <sheetData sheetId="5" refreshError="1"/>
      <sheetData sheetId="6"/>
      <sheetData sheetId="7"/>
      <sheetData sheetId="8"/>
      <sheetData sheetId="9"/>
      <sheetData sheetId="1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o programado MAYO 2021"/>
      <sheetName val="ENTREGAS MAYO 2021"/>
      <sheetName val="Indicadores Mayo 2021"/>
      <sheetName val="General MAYO 2021"/>
      <sheetName val="Hoja1"/>
      <sheetName val="Datos"/>
      <sheetName val="01-Semana 03 al 08"/>
      <sheetName val="01-Semana 03 al 08 (2)"/>
      <sheetName val="02-Semana 10 al 15"/>
      <sheetName val="03-Semana 17 al 22"/>
      <sheetName val="04-Semana 24 al 29"/>
      <sheetName val="05-Brayan Cronograma Prog"/>
    </sheetNames>
    <definedNames>
      <definedName name="ExcesoPorcentajeCompletado" refersTo="#REF!"/>
      <definedName name="PeríodoEnPlan" refersTo="#REF!"/>
    </defined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Bryan Martinez" id="{E5F69FCF-F1D0-4591-BDC0-C7E735C18633}" userId="S::bryan.martinez_brillaseo.co#ext#@comfandisa.onmicrosoft.com::d840119f-0a79-4c33-a3d4-e523193a365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E10AF9-939B-4CC6-9492-C4A7F6C6D375}" name="Tabla6" displayName="Tabla6" ref="A5:AN127" totalsRowShown="0" dataDxfId="184" headerRowBorderDxfId="182" tableBorderDxfId="183" dataCellStyle="Activity">
  <autoFilter ref="A5:AN127" xr:uid="{B2E10AF9-939B-4CC6-9492-C4A7F6C6D375}"/>
  <tableColumns count="40">
    <tableColumn id="1" xr3:uid="{FA0D51C8-22B5-4C2C-82E1-8CC5E376580F}" name="SEDE" dataDxfId="181" dataCellStyle="Activity"/>
    <tableColumn id="2" xr3:uid="{4A6E079B-36A0-4D5F-B402-CDCE5659DDF3}" name="SUPERVISOR " dataDxfId="180" dataCellStyle="Activity">
      <calculatedColumnFormula>VLOOKUP(Tabla6[[#This Row],[SEDE]],'Cronog Junio 2026'!B3:C94,2,0)</calculatedColumnFormula>
    </tableColumn>
    <tableColumn id="3" xr3:uid="{F8EE8D85-3E58-4C4E-96D3-4F7253ABE2D0}" name="UES" dataDxfId="179" dataCellStyle="Activity">
      <calculatedColumnFormula>VLOOKUP(Tabla6[[#This Row],[SEDE]],'Cronog Junio 2026'!B3:G94,6,0)</calculatedColumnFormula>
    </tableColumn>
    <tableColumn id="4" xr3:uid="{31A52009-53BD-4153-A10F-A52989D56C58}" name="C. COSTO" dataDxfId="178" dataCellStyle="Activity">
      <calculatedColumnFormula>VLOOKUP(Tabla6[[#This Row],[SEDE]],'Cronog Junio 2026'!B3:D94,3,0)</calculatedColumnFormula>
    </tableColumn>
    <tableColumn id="5" xr3:uid="{A7A93D3A-CF96-4967-A5AC-5B28B9A07100}" name="FECHAS DE EJECUCIÓN" dataDxfId="177" dataCellStyle="Activity"/>
    <tableColumn id="6" xr3:uid="{37448789-BD53-4D21-B125-FA12C737E0A7}" name="HORAS EJECUTADAS" dataDxfId="176" dataCellStyle="Activity"/>
    <tableColumn id="7" xr3:uid="{0D3F8D06-0BAC-4462-B046-4E5C199BF5A2}" name="CANTIDAD AUTOGESTIONES" dataDxfId="175" dataCellStyle="Activity">
      <calculatedColumnFormula>+H6+J6+L6+N6+R6+T6+V6+X6+Z6+AB6+AD6+AF6</calculatedColumnFormula>
    </tableColumn>
    <tableColumn id="8" xr3:uid="{E159CE60-880E-47A7-B1C5-85707940F2C7}" name="HID-SAN" dataDxfId="174" dataCellStyle="Activity"/>
    <tableColumn id="9" xr3:uid="{5262507A-28CF-4E40-9274-E0704705F65E}" name="Tipo" dataDxfId="173" dataCellStyle="Activity"/>
    <tableColumn id="10" xr3:uid="{25B40089-E4F5-47BF-B808-8FC610FBB130}" name="INS-ELE" dataDxfId="172" dataCellStyle="Activity"/>
    <tableColumn id="11" xr3:uid="{CECF481B-9648-49BF-9658-9FFD0F55F86B}" name="M2" dataDxfId="171" dataCellStyle="Activity"/>
    <tableColumn id="12" xr3:uid="{6C2C0C6A-C0AF-49AA-9834-3E71F693D64B}" name="OBR-CIV" dataDxfId="170" dataCellStyle="Activity"/>
    <tableColumn id="13" xr3:uid="{4635ED41-9A9C-4AB8-9543-EC48DFCB9EBD}" name="M22" dataDxfId="169" dataCellStyle="Activity"/>
    <tableColumn id="14" xr3:uid="{3B1DC025-C861-490A-8DB3-90F0DEA5A35D}" name="APY-LOG" dataDxfId="168" dataCellStyle="Activity"/>
    <tableColumn id="15" xr3:uid="{8B3FD6EA-3411-45A2-B7EB-5DFF48475A68}" name="Horas" dataDxfId="167" dataCellStyle="Activity"/>
    <tableColumn id="36" xr3:uid="{CDB6DCD2-3491-4D62-AF33-89ED492662F4}" name="APY-MTTO" dataDxfId="166" dataCellStyle="Activity"/>
    <tableColumn id="35" xr3:uid="{B329F5ED-A07F-4348-B846-64B759CFF69D}" name="Horas " dataDxfId="165" dataCellStyle="Activity"/>
    <tableColumn id="16" xr3:uid="{05F625E3-33D0-41EF-B641-D5EAC600A498}" name="CARP-MET" dataDxfId="164" dataCellStyle="Activity"/>
    <tableColumn id="17" xr3:uid="{8146C724-B4B8-4CFC-A4FF-22F8BC30428D}" name="Tipo3" dataDxfId="163" dataCellStyle="Activity"/>
    <tableColumn id="18" xr3:uid="{ADA3611C-7604-4F36-8F56-AC7E80A76F2E}" name="CHA-LLAV" dataDxfId="162" dataCellStyle="Activity"/>
    <tableColumn id="19" xr3:uid="{FCC20063-4BE9-4180-A6F3-9C6E8BEED24A}" name="Tipo4" dataDxfId="161" dataCellStyle="Activity"/>
    <tableColumn id="20" xr3:uid="{3BF436CF-6F68-44F0-ABC1-8906E3D40059}" name="CARP-MAD" dataDxfId="160" dataCellStyle="Activity"/>
    <tableColumn id="21" xr3:uid="{702DEE7F-7BDE-4EB5-8193-7DEF3CD655D3}" name="Tipo5" dataDxfId="159" dataCellStyle="Activity"/>
    <tableColumn id="22" xr3:uid="{A7D16398-E5F8-4579-A78F-901585A86EA6}" name="PINT" dataDxfId="158" dataCellStyle="Activity"/>
    <tableColumn id="23" xr3:uid="{EAA25CEA-C96B-411D-AFB8-15C236C74412}" name="M26" dataDxfId="157" dataCellStyle="Activity"/>
    <tableColumn id="24" xr3:uid="{B621B23C-4BFF-4807-BECE-75FFB40A1E18}" name="ADE-OFI" dataDxfId="156" dataCellStyle="Activity"/>
    <tableColumn id="25" xr3:uid="{E71790E4-52C8-4D43-96A9-1C0673C65EA3}" name="Tipo7" dataDxfId="155" dataCellStyle="Activity"/>
    <tableColumn id="26" xr3:uid="{AE3F5768-EFDE-4F11-AB6D-7660E6DA8912}" name="CUBI" dataDxfId="154" dataCellStyle="Activity"/>
    <tableColumn id="27" xr3:uid="{6C947902-EEDF-4FC4-8F6B-ED929DC6449A}" name="M28" dataDxfId="153" dataCellStyle="Activity"/>
    <tableColumn id="28" xr3:uid="{75183BCF-6594-4D6F-921B-477A31BAFD8F}" name="SEÑA" dataDxfId="152" dataCellStyle="Activity"/>
    <tableColumn id="29" xr3:uid="{A0825DE9-E3E0-4138-B530-F715440C32A7}" name="Tipo9" dataDxfId="151" dataCellStyle="Activity"/>
    <tableColumn id="30" xr3:uid="{0B0BE7CE-6411-4D98-B407-A194CEFB2D04}" name="PERSIA" dataDxfId="150" dataCellStyle="Activity"/>
    <tableColumn id="31" xr3:uid="{6AB57339-EEF0-49A1-A738-5767A71B61AB}" name="Tipo10" dataDxfId="149" dataCellStyle="Activity"/>
    <tableColumn id="32" xr3:uid="{DBCA44CF-EBB1-4E21-BAE1-BE34D95F383D}" name="CON COBRO" dataDxfId="148" dataCellStyle="Activity"/>
    <tableColumn id="33" xr3:uid="{B40DF978-3B0C-4305-95B5-5FD97170B83B}" name="SIN COBRO" dataDxfId="147" dataCellStyle="Activity"/>
    <tableColumn id="34" xr3:uid="{CD10F63E-0A41-44AC-AE5E-37E3D0868161}" name="N° CHECK LIST" dataDxfId="146" dataCellStyle="Activity"/>
    <tableColumn id="37" xr3:uid="{73538DC5-45FC-4918-B55C-79BC640067D6}" name="facilitador" dataDxfId="145" dataCellStyle="Activity"/>
    <tableColumn id="38" xr3:uid="{70B2FDA3-C9B3-45EF-8B97-B11E26844E4D}" name="INDICE" dataDxfId="144" dataCellStyle="Activity"/>
    <tableColumn id="39" xr3:uid="{93311DEE-33D0-4A46-BFA1-FEA7828DB643}" name="DRIVE" dataDxfId="143" dataCellStyle="Activity"/>
    <tableColumn id="40" xr3:uid="{ECB836E3-1A8A-4676-A2DA-3FD0AD0AC389}" name="GESTOR RESPONSABLE" dataDxfId="142" dataCellStyle="Activity"/>
  </tableColumns>
  <tableStyleInfo name="TableStyleLight9"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9CDDCD1-0530-4AA5-9B0B-D52604F10742}" name="Tabla7" displayName="Tabla7" ref="A3:Y7" totalsRowCount="1" dataDxfId="141" tableBorderDxfId="140">
  <autoFilter ref="A3:Y6" xr:uid="{49CDDCD1-0530-4AA5-9B0B-D52604F10742}"/>
  <tableColumns count="25">
    <tableColumn id="1" xr3:uid="{773C1AC0-044C-4E49-91CE-55CA8659F023}" name="N° ENTREGA" totalsRowLabel="Total" dataDxfId="138" totalsRowDxfId="139"/>
    <tableColumn id="2" xr3:uid="{51DE853C-8FD8-49A6-9FE0-C5B63B1714DB}" name="FECHA DILIGENC." dataDxfId="136" totalsRowDxfId="137"/>
    <tableColumn id="3" xr3:uid="{FC3A8DB8-CB00-4744-8141-D2C8E0CE5A99}" name="SEDE" totalsRowFunction="count" dataDxfId="134" totalsRowDxfId="135"/>
    <tableColumn id="4" xr3:uid="{0C30DA76-2AD7-4634-8721-77112B7AA7D9}" name="SUPERVISOR RESPONSABLE " dataDxfId="132" totalsRowDxfId="133"/>
    <tableColumn id="5" xr3:uid="{6C235677-3F4A-4D06-91B5-74A971B55438}" name="UES" dataDxfId="130" totalsRowDxfId="131"/>
    <tableColumn id="6" xr3:uid="{BE1F2A48-B247-4C56-82EA-C12B0D08BFAF}" name="C. COSTO" dataDxfId="128" totalsRowDxfId="129"/>
    <tableColumn id="7" xr3:uid="{32C70F2E-32FC-4764-B50E-747EB4F33317}" name="FECHAS DE EJECUCIÓN" dataDxfId="126" totalsRowDxfId="127"/>
    <tableColumn id="8" xr3:uid="{1B4F60A0-6CAB-40F0-96D8-73594FE8200A}" name="HORAS EJECUTADAS" totalsRowFunction="sum" dataDxfId="124" totalsRowDxfId="125"/>
    <tableColumn id="9" xr3:uid="{CEA0A43D-5D57-4961-AC30-AC944A12FA5F}" name="Q AUTOGEST." totalsRowFunction="sum" dataDxfId="122" totalsRowDxfId="123"/>
    <tableColumn id="10" xr3:uid="{A6FCE7B4-A514-48B2-975B-B1C988D30C7C}" name="HID-SAN" totalsRowFunction="sum" dataDxfId="120" totalsRowDxfId="121"/>
    <tableColumn id="11" xr3:uid="{FEC9C2B3-75ED-430B-B19D-E59DB722A68E}" name="INS-ELE" totalsRowFunction="sum" dataDxfId="118" totalsRowDxfId="119"/>
    <tableColumn id="12" xr3:uid="{D3931DD6-CE75-46E5-A0F5-680AB6496FD1}" name="OBR-CIV" totalsRowFunction="sum" dataDxfId="116" totalsRowDxfId="117"/>
    <tableColumn id="13" xr3:uid="{892FE9DB-DC98-4677-85DB-AC2752F3479F}" name="APY-LOG" totalsRowFunction="sum" dataDxfId="114" totalsRowDxfId="115"/>
    <tableColumn id="25" xr3:uid="{A44D7389-170F-47EE-8D06-DCE0C2BC4DEB}" name="APY-MTTO" totalsRowFunction="sum" dataDxfId="112" totalsRowDxfId="113"/>
    <tableColumn id="14" xr3:uid="{3857C1F8-E961-4C92-B8BA-8A3552AF606D}" name="CARP-MET" totalsRowFunction="sum" dataDxfId="110" totalsRowDxfId="111"/>
    <tableColumn id="15" xr3:uid="{D75E0A70-4B0D-4223-82EC-C4755AC13C6D}" name="CHA-LLAV" totalsRowFunction="sum" dataDxfId="108" totalsRowDxfId="109"/>
    <tableColumn id="16" xr3:uid="{31BDA56E-9D8E-4007-B7EC-C4678430103E}" name="CARP-MAD" totalsRowFunction="sum" dataDxfId="106" totalsRowDxfId="107"/>
    <tableColumn id="17" xr3:uid="{EEDEE986-8B81-4D61-9F74-1ED4DB878DF0}" name="PINT" totalsRowFunction="sum" dataDxfId="104" totalsRowDxfId="105"/>
    <tableColumn id="18" xr3:uid="{923283EA-A45C-4E42-80B5-EC5FFAD485AD}" name="ADE-OFI" totalsRowFunction="sum" dataDxfId="102" totalsRowDxfId="103"/>
    <tableColumn id="19" xr3:uid="{BF0A7E52-25DC-4A95-B21D-FD4D2430BBDE}" name="CUBI" totalsRowFunction="sum" dataDxfId="100" totalsRowDxfId="101"/>
    <tableColumn id="20" xr3:uid="{27B0486D-492E-4987-8FFA-CCA815EE5F65}" name="SEÑA" totalsRowFunction="sum" dataDxfId="98" totalsRowDxfId="99"/>
    <tableColumn id="21" xr3:uid="{10236323-3972-4FF1-ACB4-0B42DB687151}" name="PERSIA" totalsRowFunction="sum" dataDxfId="96" totalsRowDxfId="97"/>
    <tableColumn id="22" xr3:uid="{CAD5EE59-9147-4E46-982C-9B54B2432569}" name="CON COBRO" totalsRowFunction="sum" dataDxfId="94" totalsRowDxfId="95"/>
    <tableColumn id="23" xr3:uid="{1AAFD934-76C4-4C2D-80E8-A7FF6726EC6D}" name="SIN COBRO" totalsRowFunction="sum" dataDxfId="92" totalsRowDxfId="93"/>
    <tableColumn id="24" xr3:uid="{1F9F7032-97DD-47AF-85E4-893547BF4B11}" name="N° CHECK LIST" dataDxfId="90" totalsRowDxfId="91"/>
  </tableColumns>
  <tableStyleInfo name="TableStyleLight9"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217610-CC6B-459B-9A27-86268D929DC1}" name="Tabla425" displayName="Tabla425" ref="A3:K13" totalsRowShown="0" headerRowDxfId="82" headerRowCellStyle="Activity">
  <autoFilter ref="A3:K13" xr:uid="{4A217610-CC6B-459B-9A27-86268D929DC1}"/>
  <tableColumns count="11">
    <tableColumn id="1" xr3:uid="{19828845-9EA5-42D5-A512-55F262D106F0}" name="sabado, 13 de junio 2026" dataDxfId="81" dataCellStyle="Activity"/>
    <tableColumn id="10" xr3:uid="{DF25E35F-3944-48F1-8D88-1DBA447A3784}" name="Ciudad" dataDxfId="80" dataCellStyle="Activity">
      <calculatedColumnFormula>VLOOKUP(Tabla425[[#This Row],[sabado, 13 de junio 2026]],'Cronog Junio 2026'!B:AT,4,0)</calculatedColumnFormula>
    </tableColumn>
    <tableColumn id="9" xr3:uid="{2C8B65A8-DC6D-4BB2-95E4-035DC0AD24A1}" name="UES" dataDxfId="79" dataCellStyle="Activity">
      <calculatedColumnFormula>VLOOKUP(Tabla425[[#This Row],[sabado, 13 de junio 2026]],'Cronog Junio 2026'!B:AT,6,0)</calculatedColumnFormula>
    </tableColumn>
    <tableColumn id="2" xr3:uid="{29728046-4172-4FE2-93D1-A4B82F9F7D5A}" name="Supervisor a Cargo" dataDxfId="78" dataCellStyle="Activity">
      <calculatedColumnFormula>VLOOKUP(Tabla425[[#This Row],[sabado, 13 de junio 2026]],'Cronog Junio 2026'!B:AT,2,0)</calculatedColumnFormula>
    </tableColumn>
    <tableColumn id="3" xr3:uid="{16004A71-3240-47B3-BDB8-31FDB5348F93}" name="Facilitador Comfandi" dataDxfId="77" dataCellStyle="Activity">
      <calculatedColumnFormula>VLOOKUP(Tabla425[[#This Row],[sabado, 13 de junio 2026]],#REF!,10,0)</calculatedColumnFormula>
    </tableColumn>
    <tableColumn id="4" xr3:uid="{969CD503-0C99-4BE7-901B-D14559421CB9}" name="Correo Sede">
      <calculatedColumnFormula>VLOOKUP(Tabla425[[#This Row],[sabado, 13 de junio 2026]],'CORREOS 01'!A:B,2,0)</calculatedColumnFormula>
    </tableColumn>
    <tableColumn id="5" xr3:uid="{93CA2850-A7DA-4E29-AEDF-25165DACBD59}" name="Correo Facilitador">
      <calculatedColumnFormula>VLOOKUP(Tabla425[[#This Row],[Facilitador Comfandi]],#REF!,2,0)</calculatedColumnFormula>
    </tableColumn>
    <tableColumn id="6" xr3:uid="{88444F25-920A-4A57-A195-5FC1FCE10071}" name="CORREO UES">
      <calculatedColumnFormula>IFERROR(VLOOKUP(Tabla425[[#This Row],[UES]],'Directorio Infraestructura'!$A$37:$D$41,4,0),"")</calculatedColumnFormula>
    </tableColumn>
    <tableColumn id="11" xr3:uid="{4FA0BDEC-AF1F-49E5-9144-CE0C3BDF372A}" name="SEGURIDAD CORPORATIVA">
      <calculatedColumnFormula>IF(Tabla425[[#This Row],[Ciudad]]="Cali",'Directorio Infraestructura'!$B$31,'Directorio Infraestructura'!$B$32)</calculatedColumnFormula>
    </tableColumn>
    <tableColumn id="7" xr3:uid="{9E51136E-908E-4B3C-87C7-CEE91AF27F35}" name="CORREOS A NIVEL CENTRAL">
      <calculatedColumnFormula>'Directorio Infraestructura'!$B$48</calculatedColumnFormula>
    </tableColumn>
    <tableColumn id="8" xr3:uid="{2A0D7DA1-25C6-4DA4-B5BD-FA2D1529CFC8}" name="CORREOS BRILLASEO">
      <calculatedColumnFormula>'Directorio Infraestructura'!$B$49</calculatedColumnFormula>
    </tableColumn>
  </tableColumns>
  <tableStyleInfo name="TableStyleLight9"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A534B-2582-4642-9652-08C6A424B978}" name="Tabla4252" displayName="Tabla4252" ref="A16:K26" totalsRowShown="0" headerRowDxfId="76" headerRowCellStyle="Activity">
  <autoFilter ref="A16:K26" xr:uid="{AA7A534B-2582-4642-9652-08C6A424B978}"/>
  <tableColumns count="11">
    <tableColumn id="1" xr3:uid="{9D27FE50-E941-4261-89B2-D4213A4167FE}" name="viernes, 12 Junio de 2026" dataDxfId="75" dataCellStyle="Activity"/>
    <tableColumn id="10" xr3:uid="{B792E3F6-F640-4B97-84F8-648493823D42}" name="Ciudad" dataDxfId="74" dataCellStyle="Activity">
      <calculatedColumnFormula>VLOOKUP(Tabla4252[[#This Row],[viernes, 12 Junio de 2026]],'Cronog Junio 2026'!B:AT,4,0)</calculatedColumnFormula>
    </tableColumn>
    <tableColumn id="9" xr3:uid="{303A20FB-5533-4D8D-826C-C369D709CDBC}" name="UES" dataDxfId="73" dataCellStyle="Activity">
      <calculatedColumnFormula>VLOOKUP(Tabla4252[[#This Row],[viernes, 12 Junio de 2026]],'Cronog Junio 2026'!B:AT,6,0)</calculatedColumnFormula>
    </tableColumn>
    <tableColumn id="2" xr3:uid="{D048CB9C-A372-478A-89CB-49DC70435E9F}" name="Supervisor a Cargo" dataDxfId="72" dataCellStyle="Activity">
      <calculatedColumnFormula>VLOOKUP(Tabla4252[[#This Row],[viernes, 12 Junio de 2026]],'Cronog Junio 2026'!B:AT,2,0)</calculatedColumnFormula>
    </tableColumn>
    <tableColumn id="3" xr3:uid="{FF3823B1-2F32-4D8E-850D-86B78BA0C5B6}" name="Facilitador Comfandi" dataDxfId="71" dataCellStyle="Activity">
      <calculatedColumnFormula>VLOOKUP(Tabla4252[[#This Row],[viernes, 12 Junio de 2026]],#REF!,10,0)</calculatedColumnFormula>
    </tableColumn>
    <tableColumn id="4" xr3:uid="{A688BE71-BB48-48B1-835F-4057E5D47CAE}" name="Correo Sede">
      <calculatedColumnFormula>VLOOKUP(Tabla4252[[#This Row],[viernes, 12 Junio de 2026]],'CORREOS 01'!A:B,2,0)</calculatedColumnFormula>
    </tableColumn>
    <tableColumn id="5" xr3:uid="{FC94548D-8F2B-4F3B-8EE3-983F803055A0}" name="Correo Facilitador">
      <calculatedColumnFormula>VLOOKUP(Tabla4252[[#This Row],[Facilitador Comfandi]],#REF!,2,0)</calculatedColumnFormula>
    </tableColumn>
    <tableColumn id="6" xr3:uid="{097BE587-E17D-4B54-833B-2EC84C2EAC79}" name="CORREO UES">
      <calculatedColumnFormula>IFERROR(VLOOKUP(Tabla4252[[#This Row],[UES]],'Directorio Infraestructura'!$A$37:$D$41,4,0),"")</calculatedColumnFormula>
    </tableColumn>
    <tableColumn id="11" xr3:uid="{CA646D57-EBE5-4D95-9AE2-9DA18E88BB7C}" name="SEGURIDAD CORPORATIVA">
      <calculatedColumnFormula>IF(Tabla4252[[#This Row],[Ciudad]]="Cali",'Directorio Infraestructura'!$B$31,'Directorio Infraestructura'!$B$32)</calculatedColumnFormula>
    </tableColumn>
    <tableColumn id="7" xr3:uid="{FA608C96-7E6D-4A73-99A0-DFDECB67554A}" name="CORREOS A NIVEL CENTRAL">
      <calculatedColumnFormula>'Directorio Infraestructura'!$B$48</calculatedColumnFormula>
    </tableColumn>
    <tableColumn id="8" xr3:uid="{51283B72-C9B3-467C-83DD-0A228D89F2F4}" name="CORREOS BRILLASEO">
      <calculatedColumnFormula>'Directorio Infraestructura'!$B$49</calculatedColumnFormula>
    </tableColumn>
  </tableColumns>
  <tableStyleInfo name="TableStyleLight9"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D2E32-90A3-4EDA-A63B-7BBB6BC2A100}" name="Tabla4254" displayName="Tabla4254" ref="A29:K39" totalsRowShown="0" headerRowDxfId="70" headerRowCellStyle="Activity">
  <autoFilter ref="A29:K39" xr:uid="{8BBD2E32-90A3-4EDA-A63B-7BBB6BC2A100}"/>
  <tableColumns count="11">
    <tableColumn id="1" xr3:uid="{1EBC423D-7B06-40D2-8E45-45AECBFC37AD}" name="jueves, 11 junio 2026" dataDxfId="69" dataCellStyle="Activity"/>
    <tableColumn id="10" xr3:uid="{97760890-08D9-443F-A5CA-9FA149FAD8F7}" name="Ciudad" dataDxfId="68" dataCellStyle="Activity">
      <calculatedColumnFormula>VLOOKUP(Tabla4254[[#This Row],[jueves, 11 junio 2026]],'Cronog Junio 2026'!B:AT,4,0)</calculatedColumnFormula>
    </tableColumn>
    <tableColumn id="9" xr3:uid="{3A4BE867-44DD-485E-A8C7-077A924FFB6F}" name="UES" dataDxfId="67" dataCellStyle="Activity">
      <calculatedColumnFormula>VLOOKUP(Tabla4254[[#This Row],[jueves, 11 junio 2026]],'Cronog Junio 2026'!B:AT,6,0)</calculatedColumnFormula>
    </tableColumn>
    <tableColumn id="2" xr3:uid="{2E86A5D0-6C8D-4AE8-B8CF-380641463AF9}" name="Supervisor a Cargo" dataDxfId="66" dataCellStyle="Activity">
      <calculatedColumnFormula>VLOOKUP(Tabla4254[[#This Row],[jueves, 11 junio 2026]],'Cronog Junio 2026'!B:AT,2,0)</calculatedColumnFormula>
    </tableColumn>
    <tableColumn id="3" xr3:uid="{DDACCA03-012A-4335-A056-13CC6887C6F2}" name="Facilitador Comfandi" dataDxfId="65" dataCellStyle="Activity">
      <calculatedColumnFormula>VLOOKUP(Tabla4254[[#This Row],[jueves, 11 junio 2026]],#REF!,10,0)</calculatedColumnFormula>
    </tableColumn>
    <tableColumn id="4" xr3:uid="{473BF5D2-8FE3-4B2D-ACE6-414A931657FD}" name="Correo Sede">
      <calculatedColumnFormula>VLOOKUP(Tabla4254[[#This Row],[jueves, 11 junio 2026]],'CORREOS 01'!A:B,2,0)</calculatedColumnFormula>
    </tableColumn>
    <tableColumn id="5" xr3:uid="{2995C576-D826-4686-B37E-EA5880A2535F}" name="Correo Facilitador">
      <calculatedColumnFormula>VLOOKUP(Tabla4254[[#This Row],[Facilitador Comfandi]],#REF!,2,0)</calculatedColumnFormula>
    </tableColumn>
    <tableColumn id="6" xr3:uid="{CA9F3765-D7AD-42A1-A7A7-D87D3C9C6117}" name="CORREO UES">
      <calculatedColumnFormula>IFERROR(VLOOKUP(Tabla4254[[#This Row],[UES]],'Directorio Infraestructura'!$A$37:$D$41,4,0),"")</calculatedColumnFormula>
    </tableColumn>
    <tableColumn id="11" xr3:uid="{37B1888F-15E6-41A6-ACD7-F38FFAC0EFB4}" name="SEGURIDAD CORPORATIVA">
      <calculatedColumnFormula>IF(Tabla4254[[#This Row],[Ciudad]]="Cali",'Directorio Infraestructura'!$B$31,'Directorio Infraestructura'!$B$32)</calculatedColumnFormula>
    </tableColumn>
    <tableColumn id="7" xr3:uid="{5C3BD9C6-F1D6-4124-9A0D-971475D282CF}" name="CORREOS A NIVEL CENTRAL">
      <calculatedColumnFormula>'Directorio Infraestructura'!$B$48</calculatedColumnFormula>
    </tableColumn>
    <tableColumn id="8" xr3:uid="{92B99F49-FED8-4781-8519-43653E765EF5}" name="CORREOS BRILLASEO">
      <calculatedColumnFormula>'Directorio Infraestructura'!$B$49</calculatedColumnFormula>
    </tableColumn>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1DD8F9-DE01-44D4-BEAD-4405E8859E38}" name="Tabla15" displayName="Tabla15" ref="A1:M187" totalsRowShown="0" headerRowDxfId="48" dataDxfId="47" headerRowBorderDxfId="45" tableBorderDxfId="46" headerRowCellStyle="Normal 4" dataCellStyle="Normal 4">
  <autoFilter ref="A1:M187" xr:uid="{679EED2E-31C8-4A12-BF49-F2184DE28500}"/>
  <tableColumns count="13">
    <tableColumn id="2" xr3:uid="{95637FCF-1E38-45F9-BDEC-DC6034DA02DA}" name="UES" dataDxfId="43" totalsRowDxfId="44" dataCellStyle="Normal 4 2"/>
    <tableColumn id="3" xr3:uid="{9785AAC9-5B94-4ED1-B078-E24464AFB1AF}" name="SEDE COMFANDI" dataDxfId="41" totalsRowDxfId="42" dataCellStyle="Normal 4 2"/>
    <tableColumn id="6" xr3:uid="{EFFF8BF2-8941-418A-8146-0C979A17E0EF}" name="UBICACIÓN" dataDxfId="39" totalsRowDxfId="40" dataCellStyle="Normal 4 2"/>
    <tableColumn id="7" xr3:uid="{E68B5352-FBA4-4C08-910C-99E0B83E2941}" name="MODELO" dataDxfId="37" totalsRowDxfId="38" dataCellStyle="Normal 4"/>
    <tableColumn id="11" xr3:uid="{E5026B96-5F6A-4221-AE2E-408A707718B8}" name="DIRECCIÓN" dataDxfId="35" totalsRowDxfId="36" dataCellStyle="Normal 4"/>
    <tableColumn id="12" xr3:uid="{2065AD27-2189-4BDF-BE83-4EE3D173F293}" name="CONTACTO PPL." dataDxfId="33" totalsRowDxfId="34" dataCellStyle="Normal 4"/>
    <tableColumn id="13" xr3:uid="{2355CA33-6685-4894-8085-3FF67EFFC727}" name="CEL." dataDxfId="31" totalsRowDxfId="32" dataCellStyle="Normal 4"/>
    <tableColumn id="14" xr3:uid="{3E302B86-3E79-4775-8FEF-12751F538EDA}" name="CONTACTO SUPLENTE" dataDxfId="29" totalsRowDxfId="30" dataCellStyle="Normal 4"/>
    <tableColumn id="15" xr3:uid="{A2CD6B76-231B-439E-8CDA-218E30EFF6A0}" name="CEL.2" dataDxfId="27" totalsRowDxfId="28" dataCellStyle="Normal 4"/>
    <tableColumn id="16" xr3:uid="{E091FA4B-1B45-4790-AC55-55DD6D12300E}" name="CORREO  AREA" dataDxfId="25" totalsRowDxfId="26" dataCellStyle="Normal 4"/>
    <tableColumn id="18" xr3:uid="{61E99408-50D8-4523-9870-65B124373F4A}" name="Facilitador _x000a_Comfandi" dataDxfId="23" totalsRowDxfId="24" dataCellStyle="Normal 4"/>
    <tableColumn id="19" xr3:uid="{466BF092-4949-498A-8BEA-96D19E59A0FA}" name="Correo-Facilitador" dataDxfId="21" totalsRowDxfId="22" dataCellStyle="Normal 4"/>
    <tableColumn id="20" xr3:uid="{78293FEE-A0A3-4B6C-A864-11756437373B}" name="Telefono-facilitador" dataDxfId="19" totalsRowDxfId="20" dataCellStyle="Normal 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6" dT="2026-05-29T16:57:02.79" personId="{E5F69FCF-F1D0-4591-BDC0-C7E735C18633}" id="{0946C926-CD80-42DB-B463-AD0B34E5851B}">
    <text>SE MUEVE FECHA DE PROGRAMACION DEL 18 AL 20 SE ENVIA CORREO</text>
  </threadedComment>
</ThreadedComments>
</file>

<file path=xl/threadedComments/threadedComment2.xml><?xml version="1.0" encoding="utf-8"?>
<ThreadedComments xmlns="http://schemas.microsoft.com/office/spreadsheetml/2018/threadedcomments" xmlns:x="http://schemas.openxmlformats.org/spreadsheetml/2006/main">
  <threadedComment ref="A57" dT="2026-05-29T16:57:02.79" personId="{E5F69FCF-F1D0-4591-BDC0-C7E735C18633}" id="{D3254F90-A12C-4ECD-8345-96C846ADE40F}">
    <text>SE MUEVE FECHA DE PROGRAMACION DEL 18 AL 20 SE ENVIA CORREO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hyperlink" Target="mailto:cesarfranco@comfandi.com.co" TargetMode="External"/><Relationship Id="rId1" Type="http://schemas.openxmlformats.org/officeDocument/2006/relationships/hyperlink" Target="mailto:cesarfranco@comfandi.com.co" TargetMode="Externa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17" Type="http://schemas.openxmlformats.org/officeDocument/2006/relationships/hyperlink" Target="mailto:williamramirez@comfandi.com.co" TargetMode="External"/><Relationship Id="rId299" Type="http://schemas.openxmlformats.org/officeDocument/2006/relationships/hyperlink" Target="mailto:brayanardila@comfandi.com.co" TargetMode="External"/><Relationship Id="rId21" Type="http://schemas.openxmlformats.org/officeDocument/2006/relationships/hyperlink" Target="mailto:supermercadomorichal@comfandi.com.co" TargetMode="External"/><Relationship Id="rId63" Type="http://schemas.openxmlformats.org/officeDocument/2006/relationships/hyperlink" Target="mailto:drogcanasgordas@comfandi.com.co" TargetMode="External"/><Relationship Id="rId159" Type="http://schemas.openxmlformats.org/officeDocument/2006/relationships/hyperlink" Target="mailto:drogueriaunicentro@comfandi.com.co" TargetMode="External"/><Relationship Id="rId324" Type="http://schemas.openxmlformats.org/officeDocument/2006/relationships/hyperlink" Target="mailto:mantenimientotulua@comfandi.com.co" TargetMode="External"/><Relationship Id="rId170" Type="http://schemas.openxmlformats.org/officeDocument/2006/relationships/hyperlink" Target="mailto:jairoarboleda@comfandi.com.co" TargetMode="External"/><Relationship Id="rId226" Type="http://schemas.openxmlformats.org/officeDocument/2006/relationships/hyperlink" Target="mailto:brayanardila@comfandi.com.co" TargetMode="External"/><Relationship Id="rId268" Type="http://schemas.openxmlformats.org/officeDocument/2006/relationships/hyperlink" Target="mailto:gestionmecanicos@comfandi.com.co" TargetMode="External"/><Relationship Id="rId32" Type="http://schemas.openxmlformats.org/officeDocument/2006/relationships/hyperlink" Target="mailto:ramirorojas@comfandi.com.co,octaviogomez@comfandi.com.co" TargetMode="External"/><Relationship Id="rId74" Type="http://schemas.openxmlformats.org/officeDocument/2006/relationships/hyperlink" Target="mailto:drogminimareinavic@comfandi.com.co" TargetMode="External"/><Relationship Id="rId128" Type="http://schemas.openxmlformats.org/officeDocument/2006/relationships/hyperlink" Target="mailto:auxrecrepalmira@comfandi.com.co%3E" TargetMode="External"/><Relationship Id="rId5" Type="http://schemas.openxmlformats.org/officeDocument/2006/relationships/hyperlink" Target="mailto:claudiatamayo@comfandi.com.co,dianaarboleda@comfandi.com.co" TargetMode="External"/><Relationship Id="rId181" Type="http://schemas.openxmlformats.org/officeDocument/2006/relationships/hyperlink" Target="mailto:gestionmecanicos@comfandi.com.co" TargetMode="External"/><Relationship Id="rId237" Type="http://schemas.openxmlformats.org/officeDocument/2006/relationships/hyperlink" Target="mailto:brayanardila@comfandi.com.co" TargetMode="External"/><Relationship Id="rId279" Type="http://schemas.openxmlformats.org/officeDocument/2006/relationships/hyperlink" Target="mailto:jairoarboleda@comfandi.com.co" TargetMode="External"/><Relationship Id="rId43" Type="http://schemas.openxmlformats.org/officeDocument/2006/relationships/hyperlink" Target="mailto:SUPERTERMINAL@COMFANDI.COM.CO" TargetMode="External"/><Relationship Id="rId139" Type="http://schemas.openxmlformats.org/officeDocument/2006/relationships/hyperlink" Target="mailto:auxcisbuenaventura@Comfandi.com.co" TargetMode="External"/><Relationship Id="rId290" Type="http://schemas.openxmlformats.org/officeDocument/2006/relationships/hyperlink" Target="mailto:brayanardila@comfandi.com.co" TargetMode="External"/><Relationship Id="rId304" Type="http://schemas.openxmlformats.org/officeDocument/2006/relationships/hyperlink" Target="mailto:brayanardila@comfandi.com.co" TargetMode="External"/><Relationship Id="rId85" Type="http://schemas.openxmlformats.org/officeDocument/2006/relationships/hyperlink" Target="mailto:superbugaprincipal@comfandi.com.co" TargetMode="External"/><Relationship Id="rId150" Type="http://schemas.openxmlformats.org/officeDocument/2006/relationships/hyperlink" Target="mailto:droguerialaflora2@comfandi.com.co" TargetMode="External"/><Relationship Id="rId192" Type="http://schemas.openxmlformats.org/officeDocument/2006/relationships/hyperlink" Target="mailto:brayanardila@comfandi.com.co" TargetMode="External"/><Relationship Id="rId206" Type="http://schemas.openxmlformats.org/officeDocument/2006/relationships/hyperlink" Target="mailto:brayanardila@comfandi.com.co" TargetMode="External"/><Relationship Id="rId248" Type="http://schemas.openxmlformats.org/officeDocument/2006/relationships/hyperlink" Target="mailto:brayanardila@comfandi.com.co" TargetMode="External"/><Relationship Id="rId12" Type="http://schemas.openxmlformats.org/officeDocument/2006/relationships/hyperlink" Target="mailto:alejandroaguirre@comfandi.com.co" TargetMode="External"/><Relationship Id="rId108" Type="http://schemas.openxmlformats.org/officeDocument/2006/relationships/hyperlink" Target="mailto:secreipscartago@comfandi.com.co" TargetMode="External"/><Relationship Id="rId315" Type="http://schemas.openxmlformats.org/officeDocument/2006/relationships/hyperlink" Target="mailto:maritzamedina@comfandi.com.co,dianaarboleda@comfandi.com.co" TargetMode="External"/><Relationship Id="rId54" Type="http://schemas.openxmlformats.org/officeDocument/2006/relationships/hyperlink" Target="mailto:drogcanaveralejo@comfandi.com.co" TargetMode="External"/><Relationship Id="rId96" Type="http://schemas.openxmlformats.org/officeDocument/2006/relationships/hyperlink" Target="mailto:rapitienda24tulua@comfandi.com.co" TargetMode="External"/><Relationship Id="rId161" Type="http://schemas.openxmlformats.org/officeDocument/2006/relationships/hyperlink" Target="mailto:drogpalmirau@comfandi.com.co" TargetMode="External"/><Relationship Id="rId217" Type="http://schemas.openxmlformats.org/officeDocument/2006/relationships/hyperlink" Target="mailto:brayanardila@comfandi.com.co" TargetMode="External"/><Relationship Id="rId259" Type="http://schemas.openxmlformats.org/officeDocument/2006/relationships/hyperlink" Target="mailto:brayanardila@comfandi.com.co" TargetMode="External"/><Relationship Id="rId23" Type="http://schemas.openxmlformats.org/officeDocument/2006/relationships/hyperlink" Target="mailto:SUPERTORRES@COMFANDI.COM.CO" TargetMode="External"/><Relationship Id="rId119" Type="http://schemas.openxmlformats.org/officeDocument/2006/relationships/hyperlink" Target="mailto:alejandragiraldo@comfandi.com.co,almacenipsmorichal@comfandi.com.co" TargetMode="External"/><Relationship Id="rId270" Type="http://schemas.openxmlformats.org/officeDocument/2006/relationships/hyperlink" Target="mailto:gestionmecanicos@comfandi.com.co" TargetMode="External"/><Relationship Id="rId326" Type="http://schemas.openxmlformats.org/officeDocument/2006/relationships/hyperlink" Target="mailto:dianaramos@comfandi.com.co;josedelgado@comfandi.com.co" TargetMode="External"/><Relationship Id="rId65" Type="http://schemas.openxmlformats.org/officeDocument/2006/relationships/hyperlink" Target="mailto:drogueriacolon@comfandi.com.co" TargetMode="External"/><Relationship Id="rId130" Type="http://schemas.openxmlformats.org/officeDocument/2006/relationships/hyperlink" Target="mailto:supercristales@comfandi.com.co" TargetMode="External"/><Relationship Id="rId172" Type="http://schemas.openxmlformats.org/officeDocument/2006/relationships/hyperlink" Target="mailto:jairoarboleda@comfandi.com.co" TargetMode="External"/><Relationship Id="rId228" Type="http://schemas.openxmlformats.org/officeDocument/2006/relationships/hyperlink" Target="mailto:brayanardila@comfandi.com.co" TargetMode="External"/><Relationship Id="rId281" Type="http://schemas.openxmlformats.org/officeDocument/2006/relationships/hyperlink" Target="mailto:jairoarboleda@comfandi.com.co" TargetMode="External"/><Relationship Id="rId34" Type="http://schemas.openxmlformats.org/officeDocument/2006/relationships/hyperlink" Target="mailto:drogueriaavsexta@comfandi.com.co" TargetMode="External"/><Relationship Id="rId76" Type="http://schemas.openxmlformats.org/officeDocument/2006/relationships/hyperlink" Target="mailto:superpalmira@comfandi.com.co" TargetMode="External"/><Relationship Id="rId141" Type="http://schemas.openxmlformats.org/officeDocument/2006/relationships/hyperlink" Target="mailto:leidybravo@comfandi.com.co,dianaarboleda@comfandi.com.co" TargetMode="External"/><Relationship Id="rId7" Type="http://schemas.openxmlformats.org/officeDocument/2006/relationships/hyperlink" Target="mailto:directoracolegiostulua@comfandi.com.co,dianaarboleda@comfandi.com.co" TargetMode="External"/><Relationship Id="rId183" Type="http://schemas.openxmlformats.org/officeDocument/2006/relationships/hyperlink" Target="mailto:gestionmecanicos@comfandi.com.co" TargetMode="External"/><Relationship Id="rId239" Type="http://schemas.openxmlformats.org/officeDocument/2006/relationships/hyperlink" Target="mailto:brayanardila@comfandi.com.co" TargetMode="External"/><Relationship Id="rId250" Type="http://schemas.openxmlformats.org/officeDocument/2006/relationships/hyperlink" Target="mailto:brayanardila@comfandi.com.co" TargetMode="External"/><Relationship Id="rId271" Type="http://schemas.openxmlformats.org/officeDocument/2006/relationships/hyperlink" Target="mailto:gestionmecanicos@comfandi.com.co" TargetMode="External"/><Relationship Id="rId292" Type="http://schemas.openxmlformats.org/officeDocument/2006/relationships/hyperlink" Target="mailto:brayanardila@comfandi.com.co" TargetMode="External"/><Relationship Id="rId306" Type="http://schemas.openxmlformats.org/officeDocument/2006/relationships/hyperlink" Target="mailto:brayanardila@comfandi.com.co" TargetMode="External"/><Relationship Id="rId24" Type="http://schemas.openxmlformats.org/officeDocument/2006/relationships/hyperlink" Target="mailto:drogueriatorres@comfandi.com.co" TargetMode="External"/><Relationship Id="rId45" Type="http://schemas.openxmlformats.org/officeDocument/2006/relationships/hyperlink" Target="mailto:drogueriavallelili@comfandi.com.co" TargetMode="External"/><Relationship Id="rId66" Type="http://schemas.openxmlformats.org/officeDocument/2006/relationships/hyperlink" Target="mailto:drogueriaciudadjardin2@comfandi.com.co" TargetMode="External"/><Relationship Id="rId87" Type="http://schemas.openxmlformats.org/officeDocument/2006/relationships/hyperlink" Target="mailto:drogueriaasilo@comfandi.com.co" TargetMode="External"/><Relationship Id="rId110" Type="http://schemas.openxmlformats.org/officeDocument/2006/relationships/hyperlink" Target="mailto:norhabedoya@comfandi.com.co,dianaarboleda@comfandi.com.co" TargetMode="External"/><Relationship Id="rId131" Type="http://schemas.openxmlformats.org/officeDocument/2006/relationships/hyperlink" Target="mailto:mjosefacastro@comfandi.com.co,nancytobar@comfandi.com.co" TargetMode="External"/><Relationship Id="rId327" Type="http://schemas.openxmlformats.org/officeDocument/2006/relationships/hyperlink" Target="mailto:dianaramos@comfandi.com.co;josedelgado@comfandi.com.co" TargetMode="External"/><Relationship Id="rId152" Type="http://schemas.openxmlformats.org/officeDocument/2006/relationships/hyperlink" Target="mailto:mantenimientotulua@comfandi.com.co" TargetMode="External"/><Relationship Id="rId173" Type="http://schemas.openxmlformats.org/officeDocument/2006/relationships/hyperlink" Target="mailto:jairoarboleda@comfandi.com.co" TargetMode="External"/><Relationship Id="rId194" Type="http://schemas.openxmlformats.org/officeDocument/2006/relationships/hyperlink" Target="mailto:brayanardila@comfandi.com.co" TargetMode="External"/><Relationship Id="rId208" Type="http://schemas.openxmlformats.org/officeDocument/2006/relationships/hyperlink" Target="mailto:brayanardila@comfandi.com.co" TargetMode="External"/><Relationship Id="rId229" Type="http://schemas.openxmlformats.org/officeDocument/2006/relationships/hyperlink" Target="mailto:brayanardila@comfandi.com.co" TargetMode="External"/><Relationship Id="rId240" Type="http://schemas.openxmlformats.org/officeDocument/2006/relationships/hyperlink" Target="mailto:brayanardila@comfandi.com.co" TargetMode="External"/><Relationship Id="rId261" Type="http://schemas.openxmlformats.org/officeDocument/2006/relationships/hyperlink" Target="mailto:brayanardila@comfandi.com.co" TargetMode="External"/><Relationship Id="rId14" Type="http://schemas.openxmlformats.org/officeDocument/2006/relationships/hyperlink" Target="mailto:SUPERSTAROSA@COMFANDI.COM.CO" TargetMode="External"/><Relationship Id="rId35" Type="http://schemas.openxmlformats.org/officeDocument/2006/relationships/hyperlink" Target="mailto:droguerialosremedios@comfandi.com.co" TargetMode="External"/><Relationship Id="rId56" Type="http://schemas.openxmlformats.org/officeDocument/2006/relationships/hyperlink" Target="mailto:droguerialamartina@comfandi.com.co" TargetMode="External"/><Relationship Id="rId77" Type="http://schemas.openxmlformats.org/officeDocument/2006/relationships/hyperlink" Target="mailto:drogueriaprincipalpalmira@comfandi.com.co" TargetMode="External"/><Relationship Id="rId100" Type="http://schemas.openxmlformats.org/officeDocument/2006/relationships/hyperlink" Target="mailto:drogueriaprincipalcartago@comfandi.com.co" TargetMode="External"/><Relationship Id="rId282" Type="http://schemas.openxmlformats.org/officeDocument/2006/relationships/hyperlink" Target="mailto:jairoarboleda@comfandi.com.co" TargetMode="External"/><Relationship Id="rId317" Type="http://schemas.openxmlformats.org/officeDocument/2006/relationships/hyperlink" Target="mailto:carloscaballero@comfandi.com.co,dianaarboleda@comfandi.com.co" TargetMode="External"/><Relationship Id="rId8" Type="http://schemas.openxmlformats.org/officeDocument/2006/relationships/hyperlink" Target="mailto:doraguzman@comfandi.com.co,dianaarboleda@comfandi.com.co" TargetMode="External"/><Relationship Id="rId98" Type="http://schemas.openxmlformats.org/officeDocument/2006/relationships/hyperlink" Target="mailto:drogbugalagrande@comfandi.com.co" TargetMode="External"/><Relationship Id="rId121" Type="http://schemas.openxmlformats.org/officeDocument/2006/relationships/hyperlink" Target="mailto:mariaangelicaparra@comfandi.com.co;auxacademicociudadela@comfandi.com.co,dianaarboleda@comfandi.com.co" TargetMode="External"/><Relationship Id="rId142" Type="http://schemas.openxmlformats.org/officeDocument/2006/relationships/hyperlink" Target="mailto:drogueriaclinicaoccidente@comfandi.com.co" TargetMode="External"/><Relationship Id="rId163" Type="http://schemas.openxmlformats.org/officeDocument/2006/relationships/hyperlink" Target="mailto:hernandonarvaez@comfandi.com.co" TargetMode="External"/><Relationship Id="rId184" Type="http://schemas.openxmlformats.org/officeDocument/2006/relationships/hyperlink" Target="mailto:gestionmecanicos@comfandi.com.co" TargetMode="External"/><Relationship Id="rId219" Type="http://schemas.openxmlformats.org/officeDocument/2006/relationships/hyperlink" Target="mailto:brayanardila@comfandi.com.co" TargetMode="External"/><Relationship Id="rId230" Type="http://schemas.openxmlformats.org/officeDocument/2006/relationships/hyperlink" Target="mailto:brayanardila@comfandi.com.co" TargetMode="External"/><Relationship Id="rId251" Type="http://schemas.openxmlformats.org/officeDocument/2006/relationships/hyperlink" Target="mailto:brayanardila@comfandi.com.co" TargetMode="External"/><Relationship Id="rId25" Type="http://schemas.openxmlformats.org/officeDocument/2006/relationships/hyperlink" Target="mailto:drogueriaclinicaamiga@comfandi.com.co" TargetMode="External"/><Relationship Id="rId46" Type="http://schemas.openxmlformats.org/officeDocument/2006/relationships/hyperlink" Target="mailto:rapitiendasantateresita@comfandi.com.co" TargetMode="External"/><Relationship Id="rId67" Type="http://schemas.openxmlformats.org/officeDocument/2006/relationships/hyperlink" Target="mailto:drogueriaplaza70@comfandi.com.co" TargetMode="External"/><Relationship Id="rId272" Type="http://schemas.openxmlformats.org/officeDocument/2006/relationships/hyperlink" Target="mailto:gestionmecanicos@comfandi.com.co" TargetMode="External"/><Relationship Id="rId293" Type="http://schemas.openxmlformats.org/officeDocument/2006/relationships/hyperlink" Target="mailto:brayanardila@comfandi.com.co" TargetMode="External"/><Relationship Id="rId307" Type="http://schemas.openxmlformats.org/officeDocument/2006/relationships/hyperlink" Target="mailto:brayanardila@comfandi.com.co" TargetMode="External"/><Relationship Id="rId328" Type="http://schemas.openxmlformats.org/officeDocument/2006/relationships/hyperlink" Target="mailto:dianaramos@comfandi.com.co;josedelgado@comfandi.com.co" TargetMode="External"/><Relationship Id="rId88" Type="http://schemas.openxmlformats.org/officeDocument/2006/relationships/hyperlink" Target="mailto:drogueriacentrobuga@comfandi.com.co" TargetMode="External"/><Relationship Id="rId111" Type="http://schemas.openxmlformats.org/officeDocument/2006/relationships/hyperlink" Target="mailto:directorcolegiobuga@comfandi.com.co," TargetMode="External"/><Relationship Id="rId132" Type="http://schemas.openxmlformats.org/officeDocument/2006/relationships/hyperlink" Target="mailto:yamilethchacon@comfandi.com.co,sebastianarboleda@comfandi.com.co" TargetMode="External"/><Relationship Id="rId153" Type="http://schemas.openxmlformats.org/officeDocument/2006/relationships/hyperlink" Target="mailto:mantenimientotulua@comfandi.com.co" TargetMode="External"/><Relationship Id="rId174" Type="http://schemas.openxmlformats.org/officeDocument/2006/relationships/hyperlink" Target="mailto:jairoarboleda@comfandi.com.co" TargetMode="External"/><Relationship Id="rId195" Type="http://schemas.openxmlformats.org/officeDocument/2006/relationships/hyperlink" Target="mailto:brayanardila@comfandi.com.co" TargetMode="External"/><Relationship Id="rId209" Type="http://schemas.openxmlformats.org/officeDocument/2006/relationships/hyperlink" Target="mailto:brayanardila@comfandi.com.co" TargetMode="External"/><Relationship Id="rId220" Type="http://schemas.openxmlformats.org/officeDocument/2006/relationships/hyperlink" Target="mailto:brayanardila@comfandi.com.co" TargetMode="External"/><Relationship Id="rId241" Type="http://schemas.openxmlformats.org/officeDocument/2006/relationships/hyperlink" Target="mailto:brayanardila@comfandi.com.co" TargetMode="External"/><Relationship Id="rId15" Type="http://schemas.openxmlformats.org/officeDocument/2006/relationships/hyperlink" Target="mailto:drogueriasantarosa@comfandi.com.co" TargetMode="External"/><Relationship Id="rId36" Type="http://schemas.openxmlformats.org/officeDocument/2006/relationships/hyperlink" Target="mailto:drogueriafarallones@comfandi.com.co" TargetMode="External"/><Relationship Id="rId57" Type="http://schemas.openxmlformats.org/officeDocument/2006/relationships/hyperlink" Target="mailto:drogcentenario@comfandi.com.co" TargetMode="External"/><Relationship Id="rId262" Type="http://schemas.openxmlformats.org/officeDocument/2006/relationships/hyperlink" Target="mailto:brayanardila@comfandi.com.co" TargetMode="External"/><Relationship Id="rId283" Type="http://schemas.openxmlformats.org/officeDocument/2006/relationships/hyperlink" Target="mailto:jairoarboleda@comfandi.com.co" TargetMode="External"/><Relationship Id="rId318" Type="http://schemas.openxmlformats.org/officeDocument/2006/relationships/hyperlink" Target="mailto:coordinadorcolegiopradosoriente@comfandi.com.co,dianaarboleda@comfandi.com.co" TargetMode="External"/><Relationship Id="rId78" Type="http://schemas.openxmlformats.org/officeDocument/2006/relationships/hyperlink" Target="mailto:superginebra@comfandi.com.co" TargetMode="External"/><Relationship Id="rId99" Type="http://schemas.openxmlformats.org/officeDocument/2006/relationships/hyperlink" Target="mailto:drogbahiabtura@comfandi.com.co" TargetMode="External"/><Relationship Id="rId101" Type="http://schemas.openxmlformats.org/officeDocument/2006/relationships/hyperlink" Target="mailto:drogueriaclinicacartago@comfandi.com.co" TargetMode="External"/><Relationship Id="rId122" Type="http://schemas.openxmlformats.org/officeDocument/2006/relationships/hyperlink" Target="mailto:supyumbo@comfandi.com.co" TargetMode="External"/><Relationship Id="rId143" Type="http://schemas.openxmlformats.org/officeDocument/2006/relationships/hyperlink" Target="mailto:drogueriaedscaney@comfandi.com.co" TargetMode="External"/><Relationship Id="rId164" Type="http://schemas.openxmlformats.org/officeDocument/2006/relationships/hyperlink" Target="mailto:hernandonarvaez@comfandi.com.co" TargetMode="External"/><Relationship Id="rId185" Type="http://schemas.openxmlformats.org/officeDocument/2006/relationships/hyperlink" Target="mailto:brayanardila@comfandi.com.co" TargetMode="External"/><Relationship Id="rId9" Type="http://schemas.openxmlformats.org/officeDocument/2006/relationships/hyperlink" Target="mailto:norhabedoya@comfandi.com.co,dianaarboleda@comfandi.com.co" TargetMode="External"/><Relationship Id="rId210" Type="http://schemas.openxmlformats.org/officeDocument/2006/relationships/hyperlink" Target="mailto:brayanardila@comfandi.com.co" TargetMode="External"/><Relationship Id="rId26" Type="http://schemas.openxmlformats.org/officeDocument/2006/relationships/hyperlink" Target="mailto:SUPERGUADALUPE@COMFANDI.COM.CO" TargetMode="External"/><Relationship Id="rId231" Type="http://schemas.openxmlformats.org/officeDocument/2006/relationships/hyperlink" Target="mailto:brayanardila@comfandi.com.co" TargetMode="External"/><Relationship Id="rId252" Type="http://schemas.openxmlformats.org/officeDocument/2006/relationships/hyperlink" Target="mailto:brayanardila@comfandi.com.co" TargetMode="External"/><Relationship Id="rId273" Type="http://schemas.openxmlformats.org/officeDocument/2006/relationships/hyperlink" Target="mailto:gestionmecanicos@comfandi.com.co" TargetMode="External"/><Relationship Id="rId294" Type="http://schemas.openxmlformats.org/officeDocument/2006/relationships/hyperlink" Target="mailto:brayanardila@comfandi.com.co" TargetMode="External"/><Relationship Id="rId308" Type="http://schemas.openxmlformats.org/officeDocument/2006/relationships/hyperlink" Target="mailto:brayanardila@comfandi.com.co" TargetMode="External"/><Relationship Id="rId329" Type="http://schemas.openxmlformats.org/officeDocument/2006/relationships/printerSettings" Target="../printerSettings/printerSettings4.bin"/><Relationship Id="rId47" Type="http://schemas.openxmlformats.org/officeDocument/2006/relationships/hyperlink" Target="mailto:drogueriamelendez@comfandi.com.co" TargetMode="External"/><Relationship Id="rId68" Type="http://schemas.openxmlformats.org/officeDocument/2006/relationships/hyperlink" Target="mailto:drogcallejonchuchas@comfandi.com.co" TargetMode="External"/><Relationship Id="rId89" Type="http://schemas.openxmlformats.org/officeDocument/2006/relationships/hyperlink" Target="mailto:drogueriaparquecabal@comfandi.com.co" TargetMode="External"/><Relationship Id="rId112" Type="http://schemas.openxmlformats.org/officeDocument/2006/relationships/hyperlink" Target="mailto:diripssannicolas@comfandi.com.co,auxtecnovigilancia@comfandi.com.co,luzkarimeramos@comfandi.com.co%20,astridsierra@comfandi.com.co" TargetMode="External"/><Relationship Id="rId133" Type="http://schemas.openxmlformats.org/officeDocument/2006/relationships/hyperlink" Target="mailto:libardodiaz@comfandi.com.co,dianaarboleda@comfandi.com.co" TargetMode="External"/><Relationship Id="rId154" Type="http://schemas.openxmlformats.org/officeDocument/2006/relationships/hyperlink" Target="mailto:mantenimientotulua@comfandi.com.co" TargetMode="External"/><Relationship Id="rId175" Type="http://schemas.openxmlformats.org/officeDocument/2006/relationships/hyperlink" Target="mailto:jairoarboleda@comfandi.com.co" TargetMode="External"/><Relationship Id="rId196" Type="http://schemas.openxmlformats.org/officeDocument/2006/relationships/hyperlink" Target="mailto:drosantmonicarv@comfandi.com.co" TargetMode="External"/><Relationship Id="rId200" Type="http://schemas.openxmlformats.org/officeDocument/2006/relationships/hyperlink" Target="mailto:brayanardila@comfandi.com.co" TargetMode="External"/><Relationship Id="rId16" Type="http://schemas.openxmlformats.org/officeDocument/2006/relationships/hyperlink" Target="mailto:superciudadela@comfandi.com.co" TargetMode="External"/><Relationship Id="rId221" Type="http://schemas.openxmlformats.org/officeDocument/2006/relationships/hyperlink" Target="mailto:brayanardila@comfandi.com.co" TargetMode="External"/><Relationship Id="rId242" Type="http://schemas.openxmlformats.org/officeDocument/2006/relationships/hyperlink" Target="mailto:brayanardila@comfandi.com.co" TargetMode="External"/><Relationship Id="rId263" Type="http://schemas.openxmlformats.org/officeDocument/2006/relationships/hyperlink" Target="mailto:gestionmecanicos@comfandi.com.co" TargetMode="External"/><Relationship Id="rId284" Type="http://schemas.openxmlformats.org/officeDocument/2006/relationships/hyperlink" Target="mailto:jairoarboleda@comfandi.com.co" TargetMode="External"/><Relationship Id="rId319" Type="http://schemas.openxmlformats.org/officeDocument/2006/relationships/hyperlink" Target="mailto:directorcolegioterranova@comfandi.com.co,dianaarboleda@comfandi.com.co" TargetMode="External"/><Relationship Id="rId37" Type="http://schemas.openxmlformats.org/officeDocument/2006/relationships/hyperlink" Target="mailto:drogueriasurtifamiliar@comfandi.com.co" TargetMode="External"/><Relationship Id="rId58" Type="http://schemas.openxmlformats.org/officeDocument/2006/relationships/hyperlink" Target="mailto:drogaventuraplaza@comfandi.com.co" TargetMode="External"/><Relationship Id="rId79" Type="http://schemas.openxmlformats.org/officeDocument/2006/relationships/hyperlink" Target="mailto:drogueriaginebra@comfandi.com.co" TargetMode="External"/><Relationship Id="rId102" Type="http://schemas.openxmlformats.org/officeDocument/2006/relationships/hyperlink" Target="mailto:centrorecreativobuga@comfandi.com.co" TargetMode="External"/><Relationship Id="rId123" Type="http://schemas.openxmlformats.org/officeDocument/2006/relationships/hyperlink" Target="mailto:drogclinicatequendama@comfandi.com.co" TargetMode="External"/><Relationship Id="rId144" Type="http://schemas.openxmlformats.org/officeDocument/2006/relationships/hyperlink" Target="mailto:drogueriajardinplaza@comfandi.com.co" TargetMode="External"/><Relationship Id="rId330" Type="http://schemas.openxmlformats.org/officeDocument/2006/relationships/table" Target="../tables/table6.xml"/><Relationship Id="rId90" Type="http://schemas.openxmlformats.org/officeDocument/2006/relationships/hyperlink" Target="mailto:rapicalimavaca@comfandi.com.co" TargetMode="External"/><Relationship Id="rId165" Type="http://schemas.openxmlformats.org/officeDocument/2006/relationships/hyperlink" Target="mailto:hernandonarvaez@comfandi.com.co" TargetMode="External"/><Relationship Id="rId186" Type="http://schemas.openxmlformats.org/officeDocument/2006/relationships/hyperlink" Target="mailto:brayanardila@comfandi.com.co" TargetMode="External"/><Relationship Id="rId211" Type="http://schemas.openxmlformats.org/officeDocument/2006/relationships/hyperlink" Target="mailto:brayanardila@comfandi.com.co" TargetMode="External"/><Relationship Id="rId232" Type="http://schemas.openxmlformats.org/officeDocument/2006/relationships/hyperlink" Target="mailto:brayanardila@comfandi.com.co" TargetMode="External"/><Relationship Id="rId253" Type="http://schemas.openxmlformats.org/officeDocument/2006/relationships/hyperlink" Target="mailto:brayanardila@comfandi.com.co" TargetMode="External"/><Relationship Id="rId274" Type="http://schemas.openxmlformats.org/officeDocument/2006/relationships/hyperlink" Target="mailto:gestionmecanicos@comfandi.com.co" TargetMode="External"/><Relationship Id="rId295" Type="http://schemas.openxmlformats.org/officeDocument/2006/relationships/hyperlink" Target="mailto:brayanardila@comfandi.com.co" TargetMode="External"/><Relationship Id="rId309" Type="http://schemas.openxmlformats.org/officeDocument/2006/relationships/hyperlink" Target="mailto:brayanardila@comfandi.com.co" TargetMode="External"/><Relationship Id="rId27" Type="http://schemas.openxmlformats.org/officeDocument/2006/relationships/hyperlink" Target="mailto:drogueriaguadalupe@comfandi.com.co" TargetMode="External"/><Relationship Id="rId48" Type="http://schemas.openxmlformats.org/officeDocument/2006/relationships/hyperlink" Target="mailto:proveeduriapoblado@comfandi.com.co" TargetMode="External"/><Relationship Id="rId69" Type="http://schemas.openxmlformats.org/officeDocument/2006/relationships/hyperlink" Target="mailto:drogueriaalfaguara@comfandi.com.co" TargetMode="External"/><Relationship Id="rId113" Type="http://schemas.openxmlformats.org/officeDocument/2006/relationships/hyperlink" Target="mailto:lilianatovar@comfandi.com.co" TargetMode="External"/><Relationship Id="rId134" Type="http://schemas.openxmlformats.org/officeDocument/2006/relationships/hyperlink" Target="mailto:libardodiaz@comfandi.com.co;karenvalencia@comfandi.com.co,dianaarboleda@comfandi.com.co" TargetMode="External"/><Relationship Id="rId320" Type="http://schemas.openxmlformats.org/officeDocument/2006/relationships/hyperlink" Target="mailto:norhabedoya@comfandi.com.co,dianaarboleda@comfandi.com.co" TargetMode="External"/><Relationship Id="rId80" Type="http://schemas.openxmlformats.org/officeDocument/2006/relationships/hyperlink" Target="mailto:drogueriapalmareal@comfandi.com.co" TargetMode="External"/><Relationship Id="rId155" Type="http://schemas.openxmlformats.org/officeDocument/2006/relationships/hyperlink" Target="mailto:mantenimientotulua@comfandi.com.co" TargetMode="External"/><Relationship Id="rId176" Type="http://schemas.openxmlformats.org/officeDocument/2006/relationships/hyperlink" Target="mailto:jairoarboleda@comfandi.com.co" TargetMode="External"/><Relationship Id="rId197" Type="http://schemas.openxmlformats.org/officeDocument/2006/relationships/hyperlink" Target="mailto:drogueriaholguines@comfandi.com.co" TargetMode="External"/><Relationship Id="rId201" Type="http://schemas.openxmlformats.org/officeDocument/2006/relationships/hyperlink" Target="mailto:brayanardila@comfandi.com.co" TargetMode="External"/><Relationship Id="rId222" Type="http://schemas.openxmlformats.org/officeDocument/2006/relationships/hyperlink" Target="mailto:brayanardila@comfandi.com.co" TargetMode="External"/><Relationship Id="rId243" Type="http://schemas.openxmlformats.org/officeDocument/2006/relationships/hyperlink" Target="mailto:brayanardila@comfandi.com.co" TargetMode="External"/><Relationship Id="rId264" Type="http://schemas.openxmlformats.org/officeDocument/2006/relationships/hyperlink" Target="mailto:gestionmecanicos@comfandi.com.co" TargetMode="External"/><Relationship Id="rId285" Type="http://schemas.openxmlformats.org/officeDocument/2006/relationships/hyperlink" Target="mailto:jairoarboleda@comfandi.com.co" TargetMode="External"/><Relationship Id="rId17" Type="http://schemas.openxmlformats.org/officeDocument/2006/relationships/hyperlink" Target="mailto:drogueriaciudadela@comfandi.com.co" TargetMode="External"/><Relationship Id="rId38" Type="http://schemas.openxmlformats.org/officeDocument/2006/relationships/hyperlink" Target="mailto:drogueriaunico@comfandi.com.co" TargetMode="External"/><Relationship Id="rId59" Type="http://schemas.openxmlformats.org/officeDocument/2006/relationships/hyperlink" Target="mailto:drogbuenosaires@comfandi.com.co" TargetMode="External"/><Relationship Id="rId103" Type="http://schemas.openxmlformats.org/officeDocument/2006/relationships/hyperlink" Target="mailto:margaritagracia@comfandi.com.co" TargetMode="External"/><Relationship Id="rId124" Type="http://schemas.openxmlformats.org/officeDocument/2006/relationships/hyperlink" Target="mailto:citassia@comfandi.com.co,mjosefacastro@comfandi.com.co" TargetMode="External"/><Relationship Id="rId310" Type="http://schemas.openxmlformats.org/officeDocument/2006/relationships/hyperlink" Target="mailto:brayanardila@comfandi.com.co" TargetMode="External"/><Relationship Id="rId70" Type="http://schemas.openxmlformats.org/officeDocument/2006/relationships/hyperlink" Target="mailto:drogueriachipichape@comfandi.com.co" TargetMode="External"/><Relationship Id="rId91" Type="http://schemas.openxmlformats.org/officeDocument/2006/relationships/hyperlink" Target="mailto:drogbugaestacion@comfandi.com.co" TargetMode="External"/><Relationship Id="rId145" Type="http://schemas.openxmlformats.org/officeDocument/2006/relationships/hyperlink" Target="mailto:drogueriachipichape@comfandi.com.co" TargetMode="External"/><Relationship Id="rId166" Type="http://schemas.openxmlformats.org/officeDocument/2006/relationships/hyperlink" Target="mailto:jairoarboleda@comfandi.com.co" TargetMode="External"/><Relationship Id="rId187" Type="http://schemas.openxmlformats.org/officeDocument/2006/relationships/hyperlink" Target="mailto:brayanardila@comfandi.com.co" TargetMode="External"/><Relationship Id="rId1" Type="http://schemas.openxmlformats.org/officeDocument/2006/relationships/hyperlink" Target="mailto:cenobialoaiza@comfandi.com.co" TargetMode="External"/><Relationship Id="rId212" Type="http://schemas.openxmlformats.org/officeDocument/2006/relationships/hyperlink" Target="mailto:brayanardila@comfandi.com.co" TargetMode="External"/><Relationship Id="rId233" Type="http://schemas.openxmlformats.org/officeDocument/2006/relationships/hyperlink" Target="mailto:brayanardila@comfandi.com.co" TargetMode="External"/><Relationship Id="rId254" Type="http://schemas.openxmlformats.org/officeDocument/2006/relationships/hyperlink" Target="mailto:brayanardila@comfandi.com.co" TargetMode="External"/><Relationship Id="rId28" Type="http://schemas.openxmlformats.org/officeDocument/2006/relationships/hyperlink" Target="mailto:SUPERJAMUNDI@COMFANDI.COM.CO" TargetMode="External"/><Relationship Id="rId49" Type="http://schemas.openxmlformats.org/officeDocument/2006/relationships/hyperlink" Target="mailto:droguerialaflora@comfandi.com.co" TargetMode="External"/><Relationship Id="rId114" Type="http://schemas.openxmlformats.org/officeDocument/2006/relationships/hyperlink" Target="mailto:williamramirez@comfandi.com.co" TargetMode="External"/><Relationship Id="rId275" Type="http://schemas.openxmlformats.org/officeDocument/2006/relationships/hyperlink" Target="mailto:gestionmecanicos@comfandi.com.co" TargetMode="External"/><Relationship Id="rId296" Type="http://schemas.openxmlformats.org/officeDocument/2006/relationships/hyperlink" Target="mailto:brayanardila@comfandi.com.co" TargetMode="External"/><Relationship Id="rId300" Type="http://schemas.openxmlformats.org/officeDocument/2006/relationships/hyperlink" Target="mailto:brayanardila@comfandi.com.co" TargetMode="External"/><Relationship Id="rId60" Type="http://schemas.openxmlformats.org/officeDocument/2006/relationships/hyperlink" Target="mailto:drogsanjoaquin@comfandi.com.co" TargetMode="External"/><Relationship Id="rId81" Type="http://schemas.openxmlformats.org/officeDocument/2006/relationships/hyperlink" Target="mailto:drogueriak26palmira@comfandi.com.co" TargetMode="External"/><Relationship Id="rId135" Type="http://schemas.openxmlformats.org/officeDocument/2006/relationships/hyperlink" Target="mailto:libardodiaz@comfandi.com.co;lorenarivas@comfandi.com.co,dianaarboleda@comfandi.com.co" TargetMode="External"/><Relationship Id="rId156" Type="http://schemas.openxmlformats.org/officeDocument/2006/relationships/hyperlink" Target="mailto:mantenimientotulua@comfandi.com.co" TargetMode="External"/><Relationship Id="rId177" Type="http://schemas.openxmlformats.org/officeDocument/2006/relationships/hyperlink" Target="mailto:jairoarboleda@comfandi.com.co" TargetMode="External"/><Relationship Id="rId198" Type="http://schemas.openxmlformats.org/officeDocument/2006/relationships/hyperlink" Target="mailto:drogueriavictoria@comfandi.com.co" TargetMode="External"/><Relationship Id="rId321" Type="http://schemas.openxmlformats.org/officeDocument/2006/relationships/hyperlink" Target="mailto:claudiagrueso@comfandi.com.co,dianaarboleda@comfandi.com.co" TargetMode="External"/><Relationship Id="rId202" Type="http://schemas.openxmlformats.org/officeDocument/2006/relationships/hyperlink" Target="mailto:brayanardila@comfandi.com.co" TargetMode="External"/><Relationship Id="rId223" Type="http://schemas.openxmlformats.org/officeDocument/2006/relationships/hyperlink" Target="mailto:brayanardila@comfandi.com.co" TargetMode="External"/><Relationship Id="rId244" Type="http://schemas.openxmlformats.org/officeDocument/2006/relationships/hyperlink" Target="mailto:brayanardila@comfandi.com.co" TargetMode="External"/><Relationship Id="rId18" Type="http://schemas.openxmlformats.org/officeDocument/2006/relationships/hyperlink" Target="mailto:superlamerced@comfandi.com.co" TargetMode="External"/><Relationship Id="rId39" Type="http://schemas.openxmlformats.org/officeDocument/2006/relationships/hyperlink" Target="mailto:rapitiendaelingenio@comfandi.com.co" TargetMode="External"/><Relationship Id="rId265" Type="http://schemas.openxmlformats.org/officeDocument/2006/relationships/hyperlink" Target="mailto:gestionmecanicos@comfandi.com.co" TargetMode="External"/><Relationship Id="rId286" Type="http://schemas.openxmlformats.org/officeDocument/2006/relationships/hyperlink" Target="mailto:brayanardila@comfandi.com.co" TargetMode="External"/><Relationship Id="rId50" Type="http://schemas.openxmlformats.org/officeDocument/2006/relationships/hyperlink" Target="mailto:drogueriaalameda@comfandi.com.co" TargetMode="External"/><Relationship Id="rId104" Type="http://schemas.openxmlformats.org/officeDocument/2006/relationships/hyperlink" Target="mailto:mauriciorengifo@comfandi.com.co,recreativosantaana@comfandi.com.co" TargetMode="External"/><Relationship Id="rId125" Type="http://schemas.openxmlformats.org/officeDocument/2006/relationships/hyperlink" Target="mailto:jhonfredyhincapie@comfandi.com.co,marygonzalez@comfandi.com.co" TargetMode="External"/><Relationship Id="rId146" Type="http://schemas.openxmlformats.org/officeDocument/2006/relationships/hyperlink" Target="mailto:drogueriacalima@comfandi.com.co" TargetMode="External"/><Relationship Id="rId167" Type="http://schemas.openxmlformats.org/officeDocument/2006/relationships/hyperlink" Target="mailto:jairoarboleda@comfandi.com.co" TargetMode="External"/><Relationship Id="rId188" Type="http://schemas.openxmlformats.org/officeDocument/2006/relationships/hyperlink" Target="mailto:brayanardila@comfandi.com.co" TargetMode="External"/><Relationship Id="rId311" Type="http://schemas.openxmlformats.org/officeDocument/2006/relationships/hyperlink" Target="mailto:brayanardila@comfandi.com.co" TargetMode="External"/><Relationship Id="rId71" Type="http://schemas.openxmlformats.org/officeDocument/2006/relationships/hyperlink" Target="mailto:droguerialimonar@comfandi.com.co" TargetMode="External"/><Relationship Id="rId92" Type="http://schemas.openxmlformats.org/officeDocument/2006/relationships/hyperlink" Target="mailto:superprincipaltulua@comfandi.com.co" TargetMode="External"/><Relationship Id="rId213" Type="http://schemas.openxmlformats.org/officeDocument/2006/relationships/hyperlink" Target="mailto:brayanardila@comfandi.com.co" TargetMode="External"/><Relationship Id="rId234" Type="http://schemas.openxmlformats.org/officeDocument/2006/relationships/hyperlink" Target="mailto:brayanardila@comfandi.com.co" TargetMode="External"/><Relationship Id="rId2" Type="http://schemas.openxmlformats.org/officeDocument/2006/relationships/hyperlink" Target="mailto:dianaramos@comfandi.com.co" TargetMode="External"/><Relationship Id="rId29" Type="http://schemas.openxmlformats.org/officeDocument/2006/relationships/hyperlink" Target="mailto:drogueriajamundi@comfandi.com.co" TargetMode="External"/><Relationship Id="rId255" Type="http://schemas.openxmlformats.org/officeDocument/2006/relationships/hyperlink" Target="mailto:brayanardila@comfandi.com.co" TargetMode="External"/><Relationship Id="rId276" Type="http://schemas.openxmlformats.org/officeDocument/2006/relationships/hyperlink" Target="mailto:jairoarboleda@comfandi.com.co" TargetMode="External"/><Relationship Id="rId297" Type="http://schemas.openxmlformats.org/officeDocument/2006/relationships/hyperlink" Target="mailto:brayanardila@comfandi.com.co" TargetMode="External"/><Relationship Id="rId40" Type="http://schemas.openxmlformats.org/officeDocument/2006/relationships/hyperlink" Target="mailto:drogueriadesepaz@comfandi.com.co" TargetMode="External"/><Relationship Id="rId115" Type="http://schemas.openxmlformats.org/officeDocument/2006/relationships/hyperlink" Target="mailto:williamramirez@comfandi.com.co" TargetMode="External"/><Relationship Id="rId136" Type="http://schemas.openxmlformats.org/officeDocument/2006/relationships/hyperlink" Target="mailto:libardodiaz@comfandi.com.co,dianaarboleda@comfandi.com.co" TargetMode="External"/><Relationship Id="rId157" Type="http://schemas.openxmlformats.org/officeDocument/2006/relationships/hyperlink" Target="mailto:mantenimientotulua@comfandi.com.co" TargetMode="External"/><Relationship Id="rId178" Type="http://schemas.openxmlformats.org/officeDocument/2006/relationships/hyperlink" Target="mailto:josedelgado@comfandi.com.co" TargetMode="External"/><Relationship Id="rId301" Type="http://schemas.openxmlformats.org/officeDocument/2006/relationships/hyperlink" Target="mailto:brayanardila@comfandi.com.co" TargetMode="External"/><Relationship Id="rId322" Type="http://schemas.openxmlformats.org/officeDocument/2006/relationships/hyperlink" Target="mailto:juancarlosvalenciah@gmail.com,dianaarboleda@comfandi.com.co" TargetMode="External"/><Relationship Id="rId61" Type="http://schemas.openxmlformats.org/officeDocument/2006/relationships/hyperlink" Target="mailto:drogueriapalmetto@comfandi.com.co" TargetMode="External"/><Relationship Id="rId82" Type="http://schemas.openxmlformats.org/officeDocument/2006/relationships/hyperlink" Target="mailto:drogueriacandelaria@comfandi.com.co" TargetMode="External"/><Relationship Id="rId199" Type="http://schemas.openxmlformats.org/officeDocument/2006/relationships/hyperlink" Target="mailto:mjosefacastro@comfandi.com.co" TargetMode="External"/><Relationship Id="rId203" Type="http://schemas.openxmlformats.org/officeDocument/2006/relationships/hyperlink" Target="mailto:brayanardila@comfandi.com.co" TargetMode="External"/><Relationship Id="rId19" Type="http://schemas.openxmlformats.org/officeDocument/2006/relationships/hyperlink" Target="mailto:droguerialamerced@comfandi.com.co" TargetMode="External"/><Relationship Id="rId224" Type="http://schemas.openxmlformats.org/officeDocument/2006/relationships/hyperlink" Target="mailto:brayanardila@comfandi.com.co" TargetMode="External"/><Relationship Id="rId245" Type="http://schemas.openxmlformats.org/officeDocument/2006/relationships/hyperlink" Target="mailto:brayanardila@comfandi.com.co" TargetMode="External"/><Relationship Id="rId266" Type="http://schemas.openxmlformats.org/officeDocument/2006/relationships/hyperlink" Target="mailto:gestionmecanicos@comfandi.com.co" TargetMode="External"/><Relationship Id="rId287" Type="http://schemas.openxmlformats.org/officeDocument/2006/relationships/hyperlink" Target="mailto:brayanardila@comfandi.com.co" TargetMode="External"/><Relationship Id="rId30" Type="http://schemas.openxmlformats.org/officeDocument/2006/relationships/hyperlink" Target="mailto:SUPERELPRADO@COMFANDI.COM.CO" TargetMode="External"/><Relationship Id="rId105" Type="http://schemas.openxmlformats.org/officeDocument/2006/relationships/hyperlink" Target="mailto:direccionipscartago@comfandi.com.co" TargetMode="External"/><Relationship Id="rId126" Type="http://schemas.openxmlformats.org/officeDocument/2006/relationships/hyperlink" Target="mailto:juliancolorado@comfandi.com.co;auxccultural@comfandi.com.co,dianaarboleda@comfandi.com.co" TargetMode="External"/><Relationship Id="rId147" Type="http://schemas.openxmlformats.org/officeDocument/2006/relationships/hyperlink" Target="mailto:drogueriavipasa@comfandi.com.co" TargetMode="External"/><Relationship Id="rId168" Type="http://schemas.openxmlformats.org/officeDocument/2006/relationships/hyperlink" Target="mailto:jairoarboleda@comfandi.com.co" TargetMode="External"/><Relationship Id="rId312" Type="http://schemas.openxmlformats.org/officeDocument/2006/relationships/hyperlink" Target="mailto:brayanardila@comfandi.com.co" TargetMode="External"/><Relationship Id="rId51" Type="http://schemas.openxmlformats.org/officeDocument/2006/relationships/hyperlink" Target="mailto:drogsuperyumbointer@comfandi.com.co" TargetMode="External"/><Relationship Id="rId72" Type="http://schemas.openxmlformats.org/officeDocument/2006/relationships/hyperlink" Target="mailto:drogueriaholguines@comfandi.com.co" TargetMode="External"/><Relationship Id="rId93" Type="http://schemas.openxmlformats.org/officeDocument/2006/relationships/hyperlink" Target="mailto:drogueriaprincipaltulua@comfandi.com.co" TargetMode="External"/><Relationship Id="rId189" Type="http://schemas.openxmlformats.org/officeDocument/2006/relationships/hyperlink" Target="mailto:brayanardila@comfandi.com.co" TargetMode="External"/><Relationship Id="rId3" Type="http://schemas.openxmlformats.org/officeDocument/2006/relationships/hyperlink" Target="mailto:pilargiraldo@comfandi.com.co,claudiacastillo@comfandi.com.co" TargetMode="External"/><Relationship Id="rId214" Type="http://schemas.openxmlformats.org/officeDocument/2006/relationships/hyperlink" Target="mailto:brayanardila@comfandi.com.co" TargetMode="External"/><Relationship Id="rId235" Type="http://schemas.openxmlformats.org/officeDocument/2006/relationships/hyperlink" Target="mailto:brayanardila@comfandi.com.co" TargetMode="External"/><Relationship Id="rId256" Type="http://schemas.openxmlformats.org/officeDocument/2006/relationships/hyperlink" Target="mailto:brayanardila@comfandi.com.co" TargetMode="External"/><Relationship Id="rId277" Type="http://schemas.openxmlformats.org/officeDocument/2006/relationships/hyperlink" Target="mailto:jairoarboleda@comfandi.com.co" TargetMode="External"/><Relationship Id="rId298" Type="http://schemas.openxmlformats.org/officeDocument/2006/relationships/hyperlink" Target="mailto:brayanardila@comfandi.com.co" TargetMode="External"/><Relationship Id="rId116" Type="http://schemas.openxmlformats.org/officeDocument/2006/relationships/hyperlink" Target="mailto:williamramirez@comfandi.com.co" TargetMode="External"/><Relationship Id="rId137" Type="http://schemas.openxmlformats.org/officeDocument/2006/relationships/hyperlink" Target="mailto:cdicerrito@comfandi.com.co;luzdiaz@comfandi.com.co;auxprimerainfancia@comfandi.com.co,dianaarboleda@comfandi.com.co" TargetMode="External"/><Relationship Id="rId158" Type="http://schemas.openxmlformats.org/officeDocument/2006/relationships/hyperlink" Target="mailto:mantenimientotulua@comfandi.com.co" TargetMode="External"/><Relationship Id="rId302" Type="http://schemas.openxmlformats.org/officeDocument/2006/relationships/hyperlink" Target="mailto:brayanardila@comfandi.com.co" TargetMode="External"/><Relationship Id="rId323" Type="http://schemas.openxmlformats.org/officeDocument/2006/relationships/hyperlink" Target="mailto:jairoarboleda@comfandi.com.co" TargetMode="External"/><Relationship Id="rId20" Type="http://schemas.openxmlformats.org/officeDocument/2006/relationships/hyperlink" Target="mailto:drogueriasanfernando@comfandi.com.co" TargetMode="External"/><Relationship Id="rId41" Type="http://schemas.openxmlformats.org/officeDocument/2006/relationships/hyperlink" Target="mailto:SUPERDESEPAZ@COMFANDI.COM.CO" TargetMode="External"/><Relationship Id="rId62" Type="http://schemas.openxmlformats.org/officeDocument/2006/relationships/hyperlink" Target="mailto:drogueriabrisas@comfandi.com.co" TargetMode="External"/><Relationship Id="rId83" Type="http://schemas.openxmlformats.org/officeDocument/2006/relationships/hyperlink" Target="mailto:SUPERCANDELARIA@COMFANDI.COM.CO" TargetMode="External"/><Relationship Id="rId179" Type="http://schemas.openxmlformats.org/officeDocument/2006/relationships/hyperlink" Target="mailto:drogueriayumbo@comfandi.com.co" TargetMode="External"/><Relationship Id="rId190" Type="http://schemas.openxmlformats.org/officeDocument/2006/relationships/hyperlink" Target="mailto:brayanardila@comfandi.com.co" TargetMode="External"/><Relationship Id="rId204" Type="http://schemas.openxmlformats.org/officeDocument/2006/relationships/hyperlink" Target="mailto:brayanardila@comfandi.com.co" TargetMode="External"/><Relationship Id="rId225" Type="http://schemas.openxmlformats.org/officeDocument/2006/relationships/hyperlink" Target="mailto:brayanardila@comfandi.com.co" TargetMode="External"/><Relationship Id="rId246" Type="http://schemas.openxmlformats.org/officeDocument/2006/relationships/hyperlink" Target="mailto:brayanardila@comfandi.com.co" TargetMode="External"/><Relationship Id="rId267" Type="http://schemas.openxmlformats.org/officeDocument/2006/relationships/hyperlink" Target="mailto:gestionmecanicos@comfandi.com.co" TargetMode="External"/><Relationship Id="rId288" Type="http://schemas.openxmlformats.org/officeDocument/2006/relationships/hyperlink" Target="mailto:brayanardila@comfandi.com.co" TargetMode="External"/><Relationship Id="rId106" Type="http://schemas.openxmlformats.org/officeDocument/2006/relationships/hyperlink" Target="mailto:rodrigocamero@comfandi.com.co" TargetMode="External"/><Relationship Id="rId127" Type="http://schemas.openxmlformats.org/officeDocument/2006/relationships/hyperlink" Target="mailto:yilygonzalez@comfandi.com.co%20,luzmarinacastro@comfandi.com.co" TargetMode="External"/><Relationship Id="rId313" Type="http://schemas.openxmlformats.org/officeDocument/2006/relationships/hyperlink" Target="mailto:brayanardila@comfandi.com.co" TargetMode="External"/><Relationship Id="rId10" Type="http://schemas.openxmlformats.org/officeDocument/2006/relationships/hyperlink" Target="mailto:alexisrojasospina@comfandi.com.co" TargetMode="External"/><Relationship Id="rId31" Type="http://schemas.openxmlformats.org/officeDocument/2006/relationships/hyperlink" Target="mailto:drogueriaelprado@comfandi.com.co" TargetMode="External"/><Relationship Id="rId52" Type="http://schemas.openxmlformats.org/officeDocument/2006/relationships/hyperlink" Target="mailto:drogueriapasarela@comfandi.com.co" TargetMode="External"/><Relationship Id="rId73" Type="http://schemas.openxmlformats.org/officeDocument/2006/relationships/hyperlink" Target="mailto:drogyminimarjamundi@comfandi.com.co" TargetMode="External"/><Relationship Id="rId94" Type="http://schemas.openxmlformats.org/officeDocument/2006/relationships/hyperlink" Target="mailto:supervictoria@comfandi.com.co" TargetMode="External"/><Relationship Id="rId148" Type="http://schemas.openxmlformats.org/officeDocument/2006/relationships/hyperlink" Target="mailto:drogueriacosmocentro@comfandi.com.co" TargetMode="External"/><Relationship Id="rId169" Type="http://schemas.openxmlformats.org/officeDocument/2006/relationships/hyperlink" Target="mailto:jairoarboleda@comfandi.com.co" TargetMode="External"/><Relationship Id="rId4" Type="http://schemas.openxmlformats.org/officeDocument/2006/relationships/hyperlink" Target="mailto:victoriavelasquez@comfandi.com.co,julianagallego@comfandi.com.co" TargetMode="External"/><Relationship Id="rId180" Type="http://schemas.openxmlformats.org/officeDocument/2006/relationships/hyperlink" Target="mailto:gestionmecanicos@comfandi.com.co" TargetMode="External"/><Relationship Id="rId215" Type="http://schemas.openxmlformats.org/officeDocument/2006/relationships/hyperlink" Target="mailto:brayanardila@comfandi.com.co" TargetMode="External"/><Relationship Id="rId236" Type="http://schemas.openxmlformats.org/officeDocument/2006/relationships/hyperlink" Target="mailto:brayanardila@comfandi.com.co" TargetMode="External"/><Relationship Id="rId257" Type="http://schemas.openxmlformats.org/officeDocument/2006/relationships/hyperlink" Target="mailto:brayanardila@comfandi.com.co" TargetMode="External"/><Relationship Id="rId278" Type="http://schemas.openxmlformats.org/officeDocument/2006/relationships/hyperlink" Target="mailto:jairoarboleda@comfandi.com.co" TargetMode="External"/><Relationship Id="rId303" Type="http://schemas.openxmlformats.org/officeDocument/2006/relationships/hyperlink" Target="mailto:brayanardila@comfandi.com.co" TargetMode="External"/><Relationship Id="rId42" Type="http://schemas.openxmlformats.org/officeDocument/2006/relationships/hyperlink" Target="mailto:drogueriatequendama2@comfandi.com.co" TargetMode="External"/><Relationship Id="rId84" Type="http://schemas.openxmlformats.org/officeDocument/2006/relationships/hyperlink" Target="mailto:drogueriallanogrande@comfandi.com.co" TargetMode="External"/><Relationship Id="rId138" Type="http://schemas.openxmlformats.org/officeDocument/2006/relationships/hyperlink" Target="mailto:colegiocalipso@comfandi.com.co,marycuellar@comfandi.com.co,secrecolegiocalipso@comfandi.com.co" TargetMode="External"/><Relationship Id="rId191" Type="http://schemas.openxmlformats.org/officeDocument/2006/relationships/hyperlink" Target="mailto:brayanardila@comfandi.com.co" TargetMode="External"/><Relationship Id="rId205" Type="http://schemas.openxmlformats.org/officeDocument/2006/relationships/hyperlink" Target="mailto:brayanardila@comfandi.com.co" TargetMode="External"/><Relationship Id="rId247" Type="http://schemas.openxmlformats.org/officeDocument/2006/relationships/hyperlink" Target="mailto:brayanardila@comfandi.com.co" TargetMode="External"/><Relationship Id="rId107" Type="http://schemas.openxmlformats.org/officeDocument/2006/relationships/hyperlink" Target="mailto:direccionipsbuga@comfandi.com.co" TargetMode="External"/><Relationship Id="rId289" Type="http://schemas.openxmlformats.org/officeDocument/2006/relationships/hyperlink" Target="mailto:brayanardila@comfandi.com.co" TargetMode="External"/><Relationship Id="rId11" Type="http://schemas.openxmlformats.org/officeDocument/2006/relationships/hyperlink" Target="mailto:karenmurcia@comfandi.com.co,dorianmarquez@comfandi.com.co" TargetMode="External"/><Relationship Id="rId53" Type="http://schemas.openxmlformats.org/officeDocument/2006/relationships/hyperlink" Target="mailto:imbanacocallequinta@comfandi.com.co" TargetMode="External"/><Relationship Id="rId149" Type="http://schemas.openxmlformats.org/officeDocument/2006/relationships/hyperlink" Target="mailto:drogueriaunicentro2@comfandi.com.co" TargetMode="External"/><Relationship Id="rId314" Type="http://schemas.openxmlformats.org/officeDocument/2006/relationships/hyperlink" Target="mailto:brayanardila@comfandi.com.co" TargetMode="External"/><Relationship Id="rId95" Type="http://schemas.openxmlformats.org/officeDocument/2006/relationships/hyperlink" Target="mailto:drogueriacarrera35@comfandi.com.co" TargetMode="External"/><Relationship Id="rId160" Type="http://schemas.openxmlformats.org/officeDocument/2006/relationships/hyperlink" Target="mailto:drogueriasanfernando@comfandi.com.co" TargetMode="External"/><Relationship Id="rId216" Type="http://schemas.openxmlformats.org/officeDocument/2006/relationships/hyperlink" Target="mailto:brayanardila@comfandi.com.co" TargetMode="External"/><Relationship Id="rId258" Type="http://schemas.openxmlformats.org/officeDocument/2006/relationships/hyperlink" Target="mailto:brayanardila@comfandi.com.co" TargetMode="External"/><Relationship Id="rId22" Type="http://schemas.openxmlformats.org/officeDocument/2006/relationships/hyperlink" Target="mailto:drogueriamorichal@comfandi.com.co" TargetMode="External"/><Relationship Id="rId64" Type="http://schemas.openxmlformats.org/officeDocument/2006/relationships/hyperlink" Target="mailto:drogueriamelendez2@comfandi.com.co" TargetMode="External"/><Relationship Id="rId118" Type="http://schemas.openxmlformats.org/officeDocument/2006/relationships/hyperlink" Target="mailto:dianaramos@comfandi.com.co" TargetMode="External"/><Relationship Id="rId325" Type="http://schemas.openxmlformats.org/officeDocument/2006/relationships/hyperlink" Target="mailto:williamramirez@comfandi.com.co" TargetMode="External"/><Relationship Id="rId171" Type="http://schemas.openxmlformats.org/officeDocument/2006/relationships/hyperlink" Target="mailto:jairoarboleda@comfandi.com.co" TargetMode="External"/><Relationship Id="rId227" Type="http://schemas.openxmlformats.org/officeDocument/2006/relationships/hyperlink" Target="mailto:brayanardila@comfandi.com.co" TargetMode="External"/><Relationship Id="rId269" Type="http://schemas.openxmlformats.org/officeDocument/2006/relationships/hyperlink" Target="mailto:gestionmecanicos@comfandi.com.co" TargetMode="External"/><Relationship Id="rId33" Type="http://schemas.openxmlformats.org/officeDocument/2006/relationships/hyperlink" Target="mailto:imbanaco@comfandi.com.co" TargetMode="External"/><Relationship Id="rId129" Type="http://schemas.openxmlformats.org/officeDocument/2006/relationships/hyperlink" Target="mailto:almacenipsmorichal@comfandi.com.co" TargetMode="External"/><Relationship Id="rId280" Type="http://schemas.openxmlformats.org/officeDocument/2006/relationships/hyperlink" Target="mailto:jairoarboleda@comfandi.com.co" TargetMode="External"/><Relationship Id="rId75" Type="http://schemas.openxmlformats.org/officeDocument/2006/relationships/hyperlink" Target="mailto:drogcaldascallequinta@comfandi.com.co" TargetMode="External"/><Relationship Id="rId140" Type="http://schemas.openxmlformats.org/officeDocument/2006/relationships/hyperlink" Target="mailto:milenavelez@comfandi.com.co;gracielapena@comfandi.com.co;biblioescolarpalmira@comfandi.com.co,dianaarboleda@comfandi.com.co" TargetMode="External"/><Relationship Id="rId182" Type="http://schemas.openxmlformats.org/officeDocument/2006/relationships/hyperlink" Target="mailto:gestionmecanicos@comfandi.com.co" TargetMode="External"/><Relationship Id="rId6" Type="http://schemas.openxmlformats.org/officeDocument/2006/relationships/hyperlink" Target="mailto:directorcolegiobuga@comfandi.com.co,dianaarboleda@comfandi.com.co" TargetMode="External"/><Relationship Id="rId238" Type="http://schemas.openxmlformats.org/officeDocument/2006/relationships/hyperlink" Target="mailto:brayanardila@comfandi.com.co" TargetMode="External"/><Relationship Id="rId291" Type="http://schemas.openxmlformats.org/officeDocument/2006/relationships/hyperlink" Target="mailto:brayanardila@comfandi.com.co" TargetMode="External"/><Relationship Id="rId305" Type="http://schemas.openxmlformats.org/officeDocument/2006/relationships/hyperlink" Target="mailto:brayanardila@comfandi.com.co" TargetMode="External"/><Relationship Id="rId44" Type="http://schemas.openxmlformats.org/officeDocument/2006/relationships/hyperlink" Target="mailto:drogueriaterminal@comfandi.com.co" TargetMode="External"/><Relationship Id="rId86" Type="http://schemas.openxmlformats.org/officeDocument/2006/relationships/hyperlink" Target="mailto:drogueriabugaprincipal@comfandi.com.co" TargetMode="External"/><Relationship Id="rId151" Type="http://schemas.openxmlformats.org/officeDocument/2006/relationships/hyperlink" Target="mailto:mantenimientotulua@comfandi.com.co" TargetMode="External"/><Relationship Id="rId193" Type="http://schemas.openxmlformats.org/officeDocument/2006/relationships/hyperlink" Target="mailto:brayanardila@comfandi.com.co" TargetMode="External"/><Relationship Id="rId207" Type="http://schemas.openxmlformats.org/officeDocument/2006/relationships/hyperlink" Target="mailto:brayanardila@comfandi.com.co" TargetMode="External"/><Relationship Id="rId249" Type="http://schemas.openxmlformats.org/officeDocument/2006/relationships/hyperlink" Target="mailto:brayanardila@comfandi.com.co" TargetMode="External"/><Relationship Id="rId13" Type="http://schemas.openxmlformats.org/officeDocument/2006/relationships/hyperlink" Target="mailto:claudiagrueso@comfandi.com.co,mariafernandalopez@comfandi.com.co" TargetMode="External"/><Relationship Id="rId109" Type="http://schemas.openxmlformats.org/officeDocument/2006/relationships/hyperlink" Target="mailto:direccionipstulua@comfandi.com.co" TargetMode="External"/><Relationship Id="rId260" Type="http://schemas.openxmlformats.org/officeDocument/2006/relationships/hyperlink" Target="mailto:brayanardila@comfandi.com.co" TargetMode="External"/><Relationship Id="rId316" Type="http://schemas.openxmlformats.org/officeDocument/2006/relationships/hyperlink" Target="mailto:colegiomiraflores@comfandi.com.co,dianaarboleda@comfandi.com.co" TargetMode="External"/><Relationship Id="rId55" Type="http://schemas.openxmlformats.org/officeDocument/2006/relationships/hyperlink" Target="mailto:drogueriaaeropuerto@comfandi.com.co" TargetMode="External"/><Relationship Id="rId97" Type="http://schemas.openxmlformats.org/officeDocument/2006/relationships/hyperlink" Target="mailto:superbugalagrande@comfandi.com.co" TargetMode="External"/><Relationship Id="rId120" Type="http://schemas.openxmlformats.org/officeDocument/2006/relationships/hyperlink" Target="mailto:rapitiendasantalucia@comfandi.com.co" TargetMode="External"/><Relationship Id="rId162" Type="http://schemas.openxmlformats.org/officeDocument/2006/relationships/hyperlink" Target="mailto:hernandonarvaez@comfandi.com.co" TargetMode="External"/><Relationship Id="rId218" Type="http://schemas.openxmlformats.org/officeDocument/2006/relationships/hyperlink" Target="mailto:brayanardila@comfandi.com.co"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hernandonarvaez@comfandi.com.co" TargetMode="External"/><Relationship Id="rId13" Type="http://schemas.openxmlformats.org/officeDocument/2006/relationships/hyperlink" Target="mailto:jorgecarranza@comfandi.com.co,dianarojas@comfandi.com.co" TargetMode="External"/><Relationship Id="rId18" Type="http://schemas.openxmlformats.org/officeDocument/2006/relationships/hyperlink" Target="francygaleano@comfandi.com.co;%20viviansramirez@comfandi.com.co;%20jansengiraldo@comfandi.com.co;%20brayanardila@comfandi.com.co;%20leonardosarria@comfandi.com.co;%20aprendizmantenimiento1@comfandi.com.co;sebastianarias@comfandi.com.co;hectorcaicedo@comfandi.com.co;%20mariamartinez@comfandi.com.co;%20yubizanvelasco@comfandi.com.co" TargetMode="External"/><Relationship Id="rId3" Type="http://schemas.openxmlformats.org/officeDocument/2006/relationships/hyperlink" Target="mailto:dianaramos@comfandi.com.co" TargetMode="External"/><Relationship Id="rId21" Type="http://schemas.openxmlformats.org/officeDocument/2006/relationships/printerSettings" Target="../printerSettings/printerSettings5.bin"/><Relationship Id="rId7" Type="http://schemas.openxmlformats.org/officeDocument/2006/relationships/hyperlink" Target="mailto:fernandogaleano@comfandi.com.co" TargetMode="External"/><Relationship Id="rId12" Type="http://schemas.openxmlformats.org/officeDocument/2006/relationships/hyperlink" Target="mailto:erikamogollon@comfandi.com.co,williamobando@comfandi.com.co" TargetMode="External"/><Relationship Id="rId17" Type="http://schemas.openxmlformats.org/officeDocument/2006/relationships/hyperlink" Target="mailto:jairoescalante@comfandi.com.co" TargetMode="External"/><Relationship Id="rId2" Type="http://schemas.openxmlformats.org/officeDocument/2006/relationships/hyperlink" Target="mailto:freddyhernandez@comfandi.com.co" TargetMode="External"/><Relationship Id="rId16" Type="http://schemas.openxmlformats.org/officeDocument/2006/relationships/hyperlink" Target="mailto:centralmonitorprado@comfandi.com.co" TargetMode="External"/><Relationship Id="rId20" Type="http://schemas.openxmlformats.org/officeDocument/2006/relationships/hyperlink" Target="mailto:hectorcaicedo@comfandi.com.co;%20mariamartinez@comfandi.com.co;%20yubizanvelasco@comfandi.com.co" TargetMode="External"/><Relationship Id="rId1" Type="http://schemas.openxmlformats.org/officeDocument/2006/relationships/hyperlink" Target="mailto:francygaleano@comfandi.com.co" TargetMode="External"/><Relationship Id="rId6" Type="http://schemas.openxmlformats.org/officeDocument/2006/relationships/hyperlink" Target="mailto:jorgelondono@comfandi.com.co" TargetMode="External"/><Relationship Id="rId11" Type="http://schemas.openxmlformats.org/officeDocument/2006/relationships/hyperlink" Target="mailto:williamramirez@comfandi.com.co" TargetMode="External"/><Relationship Id="rId5" Type="http://schemas.openxmlformats.org/officeDocument/2006/relationships/hyperlink" Target="mailto:mantenimientotulua@comfandi.com.co" TargetMode="External"/><Relationship Id="rId15" Type="http://schemas.openxmlformats.org/officeDocument/2006/relationships/hyperlink" Target="mailto:germanbravo@comfandi.com.co;" TargetMode="External"/><Relationship Id="rId23" Type="http://schemas.openxmlformats.org/officeDocument/2006/relationships/comments" Target="../comments5.xml"/><Relationship Id="rId10" Type="http://schemas.openxmlformats.org/officeDocument/2006/relationships/hyperlink" Target="mailto:bernardoalarcon@comfandi.com.co" TargetMode="External"/><Relationship Id="rId19" Type="http://schemas.openxmlformats.org/officeDocument/2006/relationships/hyperlink" Target="mailto:analista1sst.comfandi@brillaseo.com;%20jhaidy.ruiz@brillaseo.com;%20almacen1.comfandi@brillaseo.com;%20alejandro.marin@brillaseo.co;andres.ramirez@brillaseo.co;bryan.martinez@brillaseo.co;adrian.restrepo@brillaseo.co" TargetMode="External"/><Relationship Id="rId4" Type="http://schemas.openxmlformats.org/officeDocument/2006/relationships/hyperlink" Target="mailto:oscarcastillo@comfandi.com.co" TargetMode="External"/><Relationship Id="rId9" Type="http://schemas.openxmlformats.org/officeDocument/2006/relationships/hyperlink" Target="mailto:jairoarboleda@comfandi.com.co" TargetMode="External"/><Relationship Id="rId14" Type="http://schemas.openxmlformats.org/officeDocument/2006/relationships/hyperlink" Target="mailto:fernandamartinez@comfandi.com.co;%20marygonzalez@comfandi.com.co" TargetMode="External"/><Relationship Id="rId22"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tabColor rgb="FF006600"/>
    <pageSetUpPr fitToPage="1"/>
  </sheetPr>
  <dimension ref="A1:CB97"/>
  <sheetViews>
    <sheetView showGridLines="0" zoomScale="90" zoomScaleNormal="90" workbookViewId="0">
      <pane ySplit="5" topLeftCell="A30" activePane="bottomLeft" state="frozen"/>
      <selection pane="bottomLeft" activeCell="P68" sqref="P68"/>
      <selection activeCell="O1" sqref="O1"/>
    </sheetView>
  </sheetViews>
  <sheetFormatPr defaultColWidth="3.28515625" defaultRowHeight="17.45" outlineLevelRow="1"/>
  <cols>
    <col min="1" max="1" width="4" style="42" bestFit="1" customWidth="1"/>
    <col min="2" max="2" width="67.140625" style="2" customWidth="1"/>
    <col min="3" max="3" width="26.42578125" style="32" customWidth="1"/>
    <col min="4" max="4" width="14.7109375" style="3" hidden="1" customWidth="1"/>
    <col min="5" max="5" width="16" style="3" hidden="1" customWidth="1"/>
    <col min="6" max="6" width="13.7109375" style="3" hidden="1" customWidth="1"/>
    <col min="7" max="7" width="18.42578125" style="3" hidden="1" customWidth="1"/>
    <col min="8" max="8" width="12.7109375" style="698" hidden="1" customWidth="1"/>
    <col min="9" max="9" width="15.140625" style="3" hidden="1" customWidth="1"/>
    <col min="10" max="10" width="15.42578125" style="3" customWidth="1"/>
    <col min="11" max="11" width="7.28515625" style="3" customWidth="1"/>
    <col min="12" max="12" width="12.140625" style="3" customWidth="1"/>
    <col min="13" max="14" width="8" style="4" customWidth="1"/>
    <col min="15" max="15" width="11.28515625" style="5" customWidth="1"/>
    <col min="16" max="16" width="56" style="324" customWidth="1"/>
    <col min="17" max="17" width="10.7109375" style="29" customWidth="1"/>
    <col min="18" max="18" width="16.5703125" style="29" customWidth="1"/>
    <col min="19" max="19" width="5.7109375" style="29" customWidth="1"/>
    <col min="20" max="20" width="5.140625" style="29" customWidth="1"/>
    <col min="21" max="21" width="5.7109375" style="29" customWidth="1"/>
    <col min="22" max="22" width="5.140625" style="29" customWidth="1"/>
    <col min="23" max="23" width="5.7109375" style="29" customWidth="1"/>
    <col min="24" max="24" width="5.140625" style="29" customWidth="1"/>
    <col min="25" max="25" width="5.7109375" style="29" customWidth="1"/>
    <col min="26" max="26" width="5.140625" style="29" customWidth="1"/>
    <col min="27" max="27" width="5.7109375" style="29" customWidth="1"/>
    <col min="28" max="28" width="5.140625" style="29" customWidth="1"/>
    <col min="29" max="29" width="5.7109375" style="29" customWidth="1"/>
    <col min="30" max="30" width="5.140625" style="29" customWidth="1"/>
    <col min="31" max="31" width="5.7109375" style="29" customWidth="1"/>
    <col min="32" max="32" width="5.140625" style="29" customWidth="1"/>
    <col min="33" max="33" width="5.7109375" style="29" customWidth="1"/>
    <col min="34" max="34" width="5.140625" style="29" customWidth="1"/>
    <col min="35" max="35" width="5.7109375" style="29" customWidth="1"/>
    <col min="36" max="36" width="5.140625" style="29" customWidth="1"/>
    <col min="37" max="37" width="5.7109375" style="29" customWidth="1"/>
    <col min="38" max="38" width="5.140625" style="29" customWidth="1"/>
    <col min="39" max="39" width="5.7109375" style="29" customWidth="1"/>
    <col min="40" max="40" width="5.140625" style="29" customWidth="1"/>
    <col min="41" max="41" width="5.7109375" style="29" customWidth="1"/>
    <col min="42" max="42" width="5.140625" style="29" customWidth="1"/>
    <col min="43" max="43" width="5.7109375" style="29" customWidth="1"/>
    <col min="44" max="44" width="5.140625" style="29" customWidth="1"/>
    <col min="45" max="45" width="6.7109375" style="29" customWidth="1"/>
    <col min="46" max="46" width="6.85546875" style="29" customWidth="1"/>
    <col min="47" max="47" width="7.28515625" style="29" customWidth="1"/>
    <col min="48" max="48" width="9.85546875" style="228" customWidth="1"/>
    <col min="49" max="49" width="3.42578125" customWidth="1"/>
    <col min="50" max="78" width="4" customWidth="1"/>
    <col min="79" max="79" width="3" hidden="1" customWidth="1"/>
    <col min="80" max="80" width="4" customWidth="1"/>
    <col min="81" max="188" width="3.28515625" style="1" customWidth="1"/>
    <col min="189" max="189" width="3.140625" style="1" customWidth="1"/>
    <col min="190" max="190" width="56.7109375" style="1" customWidth="1"/>
    <col min="191" max="197" width="3.28515625" style="1" customWidth="1"/>
    <col min="198" max="198" width="8.7109375" style="1" customWidth="1"/>
    <col min="199" max="199" width="9.85546875" style="1" customWidth="1"/>
    <col min="200" max="200" width="8.7109375" style="1" customWidth="1"/>
    <col min="201" max="201" width="10" style="1" customWidth="1"/>
    <col min="202" max="202" width="13.85546875" style="1" customWidth="1"/>
    <col min="203" max="204" width="3.28515625" style="1" customWidth="1"/>
    <col min="205" max="207" width="3.140625" style="1" customWidth="1"/>
    <col min="208" max="208" width="4" style="1" customWidth="1"/>
    <col min="209" max="16384" width="3.28515625" style="1"/>
  </cols>
  <sheetData>
    <row r="1" spans="1:80" ht="12" hidden="1" customHeight="1">
      <c r="B1" s="700" t="s">
        <v>0</v>
      </c>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406"/>
      <c r="AV1" s="229"/>
      <c r="AW1" s="1"/>
      <c r="AX1" s="1"/>
      <c r="AY1" s="1"/>
      <c r="AZ1" s="1"/>
      <c r="BA1" s="1"/>
      <c r="BB1" s="1"/>
      <c r="BC1" s="1"/>
      <c r="BD1" s="62"/>
      <c r="BE1" s="6" t="s">
        <v>1</v>
      </c>
      <c r="BF1" s="1"/>
      <c r="BG1" s="4"/>
      <c r="BH1" s="4"/>
      <c r="BI1" s="7"/>
      <c r="BJ1" s="8" t="s">
        <v>2</v>
      </c>
      <c r="BK1" s="4"/>
      <c r="BL1" s="4"/>
      <c r="BM1" s="1"/>
      <c r="BN1" s="1"/>
      <c r="BO1" s="9"/>
      <c r="BP1" s="8" t="s">
        <v>3</v>
      </c>
      <c r="BQ1" s="1"/>
      <c r="BR1" s="1"/>
      <c r="BS1" s="1"/>
      <c r="BT1" s="1"/>
      <c r="BU1" s="1"/>
      <c r="BV1" s="1"/>
      <c r="BW1" s="1"/>
      <c r="BX1" s="1"/>
      <c r="BY1" s="1"/>
      <c r="BZ1" s="1"/>
      <c r="CA1" s="1"/>
      <c r="CB1" s="142"/>
    </row>
    <row r="2" spans="1:80" ht="18.75" customHeight="1" thickBot="1">
      <c r="B2" s="700"/>
      <c r="C2" s="700"/>
      <c r="D2" s="700"/>
      <c r="E2" s="700"/>
      <c r="F2" s="700"/>
      <c r="G2" s="700"/>
      <c r="H2" s="700"/>
      <c r="I2" s="700"/>
      <c r="J2" s="700"/>
      <c r="K2" s="700"/>
      <c r="L2" s="700"/>
      <c r="M2" s="700"/>
      <c r="N2" s="700"/>
      <c r="O2" s="700"/>
      <c r="P2" s="700"/>
      <c r="Q2" s="700"/>
      <c r="R2" s="700"/>
      <c r="S2" s="700"/>
      <c r="T2" s="700"/>
      <c r="U2" s="700"/>
      <c r="V2" s="700"/>
      <c r="W2" s="700"/>
      <c r="X2" s="700"/>
      <c r="Y2" s="700"/>
      <c r="Z2" s="700"/>
      <c r="AA2" s="700"/>
      <c r="AB2" s="700"/>
      <c r="AC2" s="700"/>
      <c r="AD2" s="700"/>
      <c r="AE2" s="700"/>
      <c r="AF2" s="700"/>
      <c r="AG2" s="700"/>
      <c r="AH2" s="700"/>
      <c r="AI2" s="700"/>
      <c r="AJ2" s="700"/>
      <c r="AK2" s="700"/>
      <c r="AL2" s="700"/>
      <c r="AM2" s="700"/>
      <c r="AN2" s="700"/>
      <c r="AO2" s="700"/>
      <c r="AP2" s="700"/>
      <c r="AQ2" s="700"/>
      <c r="AR2" s="700"/>
      <c r="AS2" s="700"/>
      <c r="AT2" s="700"/>
      <c r="AU2" s="406"/>
      <c r="AV2" s="229"/>
      <c r="AW2" s="699" t="s">
        <v>4</v>
      </c>
      <c r="AX2" s="699"/>
      <c r="AY2" s="699"/>
      <c r="AZ2" s="10">
        <v>30</v>
      </c>
      <c r="BA2" s="11"/>
      <c r="BB2" s="12"/>
      <c r="BC2" s="13"/>
      <c r="BD2" s="63"/>
      <c r="BE2" s="14" t="s">
        <v>5</v>
      </c>
      <c r="BF2" s="1"/>
      <c r="BG2" s="4"/>
      <c r="BH2" s="4"/>
      <c r="BI2" s="15"/>
      <c r="BJ2" s="8" t="s">
        <v>6</v>
      </c>
      <c r="BK2" s="4"/>
      <c r="BL2" s="4"/>
      <c r="BM2" s="1"/>
      <c r="BN2" s="1"/>
      <c r="BO2" s="1"/>
      <c r="BP2" s="1"/>
      <c r="BQ2" s="1"/>
      <c r="BR2" s="1"/>
      <c r="BS2" s="1"/>
      <c r="BT2" s="1"/>
      <c r="BU2" s="1"/>
      <c r="BV2" s="1"/>
      <c r="BW2" s="1"/>
      <c r="BX2" s="1"/>
      <c r="BY2" s="1"/>
      <c r="BZ2" s="1"/>
      <c r="CA2" s="1"/>
      <c r="CB2" s="142"/>
    </row>
    <row r="3" spans="1:80" s="22" customFormat="1" ht="25.5" customHeight="1" thickBot="1">
      <c r="A3" s="43"/>
      <c r="B3" s="706" t="s">
        <v>7</v>
      </c>
      <c r="C3" s="714" t="s">
        <v>8</v>
      </c>
      <c r="D3" s="720" t="s">
        <v>9</v>
      </c>
      <c r="E3" s="714" t="s">
        <v>10</v>
      </c>
      <c r="F3" s="720" t="s">
        <v>11</v>
      </c>
      <c r="G3" s="714" t="s">
        <v>12</v>
      </c>
      <c r="H3" s="731" t="s">
        <v>13</v>
      </c>
      <c r="I3" s="714" t="s">
        <v>14</v>
      </c>
      <c r="J3" s="729" t="s">
        <v>15</v>
      </c>
      <c r="K3" s="708" t="s">
        <v>16</v>
      </c>
      <c r="L3" s="710" t="s">
        <v>17</v>
      </c>
      <c r="M3" s="712" t="s">
        <v>18</v>
      </c>
      <c r="N3" s="712" t="s">
        <v>19</v>
      </c>
      <c r="O3" s="712" t="s">
        <v>20</v>
      </c>
      <c r="P3" s="716" t="s">
        <v>21</v>
      </c>
      <c r="Q3" s="718" t="s">
        <v>22</v>
      </c>
      <c r="R3" s="718" t="s">
        <v>23</v>
      </c>
      <c r="S3" s="701" t="s">
        <v>24</v>
      </c>
      <c r="T3" s="723" t="s">
        <v>25</v>
      </c>
      <c r="U3" s="701" t="s">
        <v>26</v>
      </c>
      <c r="V3" s="723" t="s">
        <v>27</v>
      </c>
      <c r="W3" s="701" t="s">
        <v>28</v>
      </c>
      <c r="X3" s="723" t="s">
        <v>27</v>
      </c>
      <c r="Y3" s="701" t="s">
        <v>29</v>
      </c>
      <c r="Z3" s="723" t="s">
        <v>30</v>
      </c>
      <c r="AA3" s="701" t="s">
        <v>31</v>
      </c>
      <c r="AB3" s="723" t="s">
        <v>30</v>
      </c>
      <c r="AC3" s="701" t="s">
        <v>32</v>
      </c>
      <c r="AD3" s="723" t="s">
        <v>25</v>
      </c>
      <c r="AE3" s="701" t="s">
        <v>33</v>
      </c>
      <c r="AF3" s="723" t="s">
        <v>25</v>
      </c>
      <c r="AG3" s="701" t="s">
        <v>34</v>
      </c>
      <c r="AH3" s="723" t="s">
        <v>25</v>
      </c>
      <c r="AI3" s="701" t="s">
        <v>35</v>
      </c>
      <c r="AJ3" s="723" t="s">
        <v>27</v>
      </c>
      <c r="AK3" s="701" t="s">
        <v>36</v>
      </c>
      <c r="AL3" s="723" t="s">
        <v>25</v>
      </c>
      <c r="AM3" s="701" t="s">
        <v>37</v>
      </c>
      <c r="AN3" s="723" t="s">
        <v>27</v>
      </c>
      <c r="AO3" s="701" t="s">
        <v>38</v>
      </c>
      <c r="AP3" s="723" t="s">
        <v>25</v>
      </c>
      <c r="AQ3" s="701" t="s">
        <v>39</v>
      </c>
      <c r="AR3" s="723" t="s">
        <v>25</v>
      </c>
      <c r="AS3" s="718" t="s">
        <v>40</v>
      </c>
      <c r="AT3" s="718" t="s">
        <v>41</v>
      </c>
      <c r="AU3" s="722" t="s">
        <v>42</v>
      </c>
      <c r="AV3" s="230" t="s">
        <v>43</v>
      </c>
      <c r="AW3" s="703" t="s">
        <v>44</v>
      </c>
      <c r="AX3" s="704"/>
      <c r="AY3" s="704"/>
      <c r="AZ3" s="704"/>
      <c r="BA3" s="704"/>
      <c r="BB3" s="704"/>
      <c r="BC3" s="704"/>
      <c r="BD3" s="705"/>
      <c r="BE3" s="703" t="s">
        <v>45</v>
      </c>
      <c r="BF3" s="704"/>
      <c r="BG3" s="704"/>
      <c r="BH3" s="704"/>
      <c r="BI3" s="704"/>
      <c r="BJ3" s="704"/>
      <c r="BK3" s="704"/>
      <c r="BL3" s="705"/>
      <c r="BM3" s="703" t="s">
        <v>46</v>
      </c>
      <c r="BN3" s="704"/>
      <c r="BO3" s="704"/>
      <c r="BP3" s="704"/>
      <c r="BQ3" s="704"/>
      <c r="BR3" s="704"/>
      <c r="BS3" s="705"/>
      <c r="BT3" s="703" t="s">
        <v>47</v>
      </c>
      <c r="BU3" s="704"/>
      <c r="BV3" s="704"/>
      <c r="BW3" s="704"/>
      <c r="BX3" s="704"/>
      <c r="BY3" s="704"/>
      <c r="BZ3" s="704"/>
      <c r="CA3" s="705"/>
      <c r="CB3" s="143"/>
    </row>
    <row r="4" spans="1:80" s="22" customFormat="1" ht="13.15" customHeight="1">
      <c r="A4" s="43"/>
      <c r="B4" s="706"/>
      <c r="C4" s="714"/>
      <c r="D4" s="720"/>
      <c r="E4" s="714"/>
      <c r="F4" s="720"/>
      <c r="G4" s="714"/>
      <c r="H4" s="731"/>
      <c r="I4" s="714"/>
      <c r="J4" s="729"/>
      <c r="K4" s="708"/>
      <c r="L4" s="710"/>
      <c r="M4" s="712"/>
      <c r="N4" s="712"/>
      <c r="O4" s="712"/>
      <c r="P4" s="716"/>
      <c r="Q4" s="718"/>
      <c r="R4" s="718"/>
      <c r="S4" s="701"/>
      <c r="T4" s="724"/>
      <c r="U4" s="701"/>
      <c r="V4" s="724"/>
      <c r="W4" s="701"/>
      <c r="X4" s="724"/>
      <c r="Y4" s="701"/>
      <c r="Z4" s="724"/>
      <c r="AA4" s="701"/>
      <c r="AB4" s="724"/>
      <c r="AC4" s="701"/>
      <c r="AD4" s="724"/>
      <c r="AE4" s="701"/>
      <c r="AF4" s="724"/>
      <c r="AG4" s="701"/>
      <c r="AH4" s="724"/>
      <c r="AI4" s="701"/>
      <c r="AJ4" s="724"/>
      <c r="AK4" s="701"/>
      <c r="AL4" s="724"/>
      <c r="AM4" s="701"/>
      <c r="AN4" s="724"/>
      <c r="AO4" s="701"/>
      <c r="AP4" s="724"/>
      <c r="AQ4" s="701"/>
      <c r="AR4" s="724"/>
      <c r="AS4" s="718"/>
      <c r="AT4" s="718"/>
      <c r="AU4" s="722"/>
      <c r="AV4" s="231" t="s">
        <v>48</v>
      </c>
      <c r="AW4" s="236">
        <v>1</v>
      </c>
      <c r="AX4" s="236">
        <v>2</v>
      </c>
      <c r="AY4" s="236">
        <v>3</v>
      </c>
      <c r="AZ4" s="236">
        <v>4</v>
      </c>
      <c r="BA4" s="236">
        <v>5</v>
      </c>
      <c r="BB4" s="236">
        <v>6</v>
      </c>
      <c r="BC4" s="236">
        <v>7</v>
      </c>
      <c r="BD4" s="236">
        <v>8</v>
      </c>
      <c r="BE4" s="236">
        <v>9</v>
      </c>
      <c r="BF4" s="236">
        <v>10</v>
      </c>
      <c r="BG4" s="236">
        <v>11</v>
      </c>
      <c r="BH4" s="236">
        <v>12</v>
      </c>
      <c r="BI4" s="236">
        <v>13</v>
      </c>
      <c r="BJ4" s="236">
        <v>14</v>
      </c>
      <c r="BK4" s="236">
        <v>15</v>
      </c>
      <c r="BL4" s="236">
        <v>16</v>
      </c>
      <c r="BM4" s="236">
        <v>17</v>
      </c>
      <c r="BN4" s="236">
        <v>18</v>
      </c>
      <c r="BO4" s="236">
        <v>19</v>
      </c>
      <c r="BP4" s="236">
        <v>20</v>
      </c>
      <c r="BQ4" s="236">
        <v>21</v>
      </c>
      <c r="BR4" s="236">
        <v>22</v>
      </c>
      <c r="BS4" s="236">
        <v>23</v>
      </c>
      <c r="BT4" s="236">
        <v>24</v>
      </c>
      <c r="BU4" s="236">
        <v>25</v>
      </c>
      <c r="BV4" s="236">
        <v>26</v>
      </c>
      <c r="BW4" s="236">
        <v>27</v>
      </c>
      <c r="BX4" s="236">
        <v>28</v>
      </c>
      <c r="BY4" s="236">
        <v>29</v>
      </c>
      <c r="BZ4" s="236">
        <v>30</v>
      </c>
      <c r="CA4" s="237">
        <v>31</v>
      </c>
      <c r="CB4" s="144"/>
    </row>
    <row r="5" spans="1:80" ht="14.45">
      <c r="B5" s="707"/>
      <c r="C5" s="715"/>
      <c r="D5" s="721"/>
      <c r="E5" s="715"/>
      <c r="F5" s="721"/>
      <c r="G5" s="715"/>
      <c r="H5" s="732"/>
      <c r="I5" s="715"/>
      <c r="J5" s="730"/>
      <c r="K5" s="709"/>
      <c r="L5" s="711"/>
      <c r="M5" s="713"/>
      <c r="N5" s="713"/>
      <c r="O5" s="713"/>
      <c r="P5" s="717"/>
      <c r="Q5" s="719"/>
      <c r="R5" s="719"/>
      <c r="S5" s="702"/>
      <c r="T5" s="724"/>
      <c r="U5" s="702"/>
      <c r="V5" s="724"/>
      <c r="W5" s="702"/>
      <c r="X5" s="724"/>
      <c r="Y5" s="702"/>
      <c r="Z5" s="724"/>
      <c r="AA5" s="702"/>
      <c r="AB5" s="724"/>
      <c r="AC5" s="702"/>
      <c r="AD5" s="724"/>
      <c r="AE5" s="702"/>
      <c r="AF5" s="724"/>
      <c r="AG5" s="702"/>
      <c r="AH5" s="724"/>
      <c r="AI5" s="702"/>
      <c r="AJ5" s="724"/>
      <c r="AK5" s="702"/>
      <c r="AL5" s="724"/>
      <c r="AM5" s="702"/>
      <c r="AN5" s="724"/>
      <c r="AO5" s="702"/>
      <c r="AP5" s="724"/>
      <c r="AQ5" s="702"/>
      <c r="AR5" s="724"/>
      <c r="AS5" s="719"/>
      <c r="AT5" s="718"/>
      <c r="AU5" s="722"/>
      <c r="AV5" s="231" t="s">
        <v>49</v>
      </c>
      <c r="AW5" s="444" t="s">
        <v>50</v>
      </c>
      <c r="AX5" s="444" t="s">
        <v>51</v>
      </c>
      <c r="AY5" s="444" t="s">
        <v>51</v>
      </c>
      <c r="AZ5" s="444" t="s">
        <v>52</v>
      </c>
      <c r="BA5" s="444" t="s">
        <v>53</v>
      </c>
      <c r="BB5" s="444" t="s">
        <v>54</v>
      </c>
      <c r="BC5" s="19" t="s">
        <v>55</v>
      </c>
      <c r="BD5" s="19" t="s">
        <v>50</v>
      </c>
      <c r="BE5" s="444" t="s">
        <v>51</v>
      </c>
      <c r="BF5" s="444" t="s">
        <v>51</v>
      </c>
      <c r="BG5" s="444" t="s">
        <v>52</v>
      </c>
      <c r="BH5" s="444" t="s">
        <v>53</v>
      </c>
      <c r="BI5" s="444" t="s">
        <v>54</v>
      </c>
      <c r="BJ5" s="19" t="s">
        <v>55</v>
      </c>
      <c r="BK5" s="19" t="s">
        <v>50</v>
      </c>
      <c r="BL5" s="444" t="s">
        <v>51</v>
      </c>
      <c r="BM5" s="444" t="s">
        <v>51</v>
      </c>
      <c r="BN5" s="444" t="s">
        <v>52</v>
      </c>
      <c r="BO5" s="444" t="s">
        <v>53</v>
      </c>
      <c r="BP5" s="444" t="s">
        <v>54</v>
      </c>
      <c r="BQ5" s="19" t="s">
        <v>55</v>
      </c>
      <c r="BR5" s="444" t="s">
        <v>50</v>
      </c>
      <c r="BS5" s="444" t="s">
        <v>51</v>
      </c>
      <c r="BT5" s="444" t="s">
        <v>51</v>
      </c>
      <c r="BU5" s="444" t="s">
        <v>52</v>
      </c>
      <c r="BV5" s="444" t="s">
        <v>53</v>
      </c>
      <c r="BW5" s="444" t="s">
        <v>54</v>
      </c>
      <c r="BX5" s="19" t="s">
        <v>55</v>
      </c>
      <c r="BY5" s="19" t="s">
        <v>50</v>
      </c>
      <c r="BZ5" s="444" t="s">
        <v>51</v>
      </c>
      <c r="CA5" s="19" t="s">
        <v>55</v>
      </c>
      <c r="CB5" s="144"/>
    </row>
    <row r="6" spans="1:80" s="17" customFormat="1" ht="15.6" outlineLevel="1">
      <c r="A6" s="42"/>
      <c r="B6" s="55" t="s">
        <v>56</v>
      </c>
      <c r="C6" s="16"/>
      <c r="D6" s="16"/>
      <c r="E6" s="16"/>
      <c r="F6" s="16"/>
      <c r="G6" s="16"/>
      <c r="H6" s="693"/>
      <c r="I6" s="16"/>
      <c r="J6" s="16"/>
      <c r="K6" s="16"/>
      <c r="L6" s="16"/>
      <c r="M6" s="16"/>
      <c r="N6" s="16"/>
      <c r="O6" s="16"/>
      <c r="P6" s="325"/>
      <c r="Q6" s="60"/>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410">
        <f>IFERROR(SUMIF(AU7:AU20,"OK",CB7:CB20)/COUNTA(B7:B20),0)</f>
        <v>0</v>
      </c>
      <c r="AV6" s="232">
        <f>AVERAGE(AV7:AV31)</f>
        <v>0.04</v>
      </c>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145"/>
    </row>
    <row r="7" spans="1:80" ht="16.5" customHeight="1" outlineLevel="1">
      <c r="A7" s="42">
        <v>1</v>
      </c>
      <c r="B7" s="203" t="s">
        <v>57</v>
      </c>
      <c r="C7" s="59" t="s">
        <v>58</v>
      </c>
      <c r="D7" s="51" t="s">
        <v>59</v>
      </c>
      <c r="E7" s="51" t="s">
        <v>60</v>
      </c>
      <c r="F7" s="51">
        <v>122001186</v>
      </c>
      <c r="G7" s="51" t="s">
        <v>61</v>
      </c>
      <c r="H7" s="694" t="s">
        <v>62</v>
      </c>
      <c r="I7" s="48" t="s">
        <v>63</v>
      </c>
      <c r="J7" s="322">
        <v>307.86</v>
      </c>
      <c r="K7" s="146">
        <f>+Q7</f>
        <v>248.6</v>
      </c>
      <c r="L7" s="146">
        <f>+K7-J7</f>
        <v>-59.260000000000019</v>
      </c>
      <c r="M7" s="49">
        <v>1</v>
      </c>
      <c r="N7" s="49">
        <v>30</v>
      </c>
      <c r="O7" s="431">
        <v>21</v>
      </c>
      <c r="P7" s="326" t="s">
        <v>64</v>
      </c>
      <c r="Q7" s="65">
        <v>248.6</v>
      </c>
      <c r="R7" s="66">
        <v>81</v>
      </c>
      <c r="S7" s="67">
        <v>5</v>
      </c>
      <c r="T7" s="67">
        <v>0</v>
      </c>
      <c r="U7" s="67">
        <v>15</v>
      </c>
      <c r="V7" s="67">
        <v>0</v>
      </c>
      <c r="W7" s="67">
        <v>7</v>
      </c>
      <c r="X7" s="67">
        <v>0</v>
      </c>
      <c r="Y7" s="67">
        <v>34</v>
      </c>
      <c r="Z7" s="67">
        <v>0</v>
      </c>
      <c r="AA7" s="67">
        <v>5</v>
      </c>
      <c r="AB7" s="67">
        <v>0</v>
      </c>
      <c r="AC7" s="67">
        <v>4</v>
      </c>
      <c r="AD7" s="67">
        <v>0</v>
      </c>
      <c r="AE7" s="67">
        <v>6</v>
      </c>
      <c r="AF7" s="67">
        <v>0</v>
      </c>
      <c r="AG7" s="67">
        <v>0</v>
      </c>
      <c r="AH7" s="67">
        <v>0</v>
      </c>
      <c r="AI7" s="67">
        <v>2</v>
      </c>
      <c r="AJ7" s="67">
        <v>0</v>
      </c>
      <c r="AK7" s="67">
        <v>2</v>
      </c>
      <c r="AL7" s="67">
        <v>0</v>
      </c>
      <c r="AM7" s="67">
        <v>0</v>
      </c>
      <c r="AN7" s="67">
        <v>0</v>
      </c>
      <c r="AO7" s="67">
        <v>0</v>
      </c>
      <c r="AP7" s="67">
        <v>0</v>
      </c>
      <c r="AQ7" s="67">
        <v>1</v>
      </c>
      <c r="AR7" s="67">
        <v>0</v>
      </c>
      <c r="AS7" s="68">
        <v>1</v>
      </c>
      <c r="AT7" s="68">
        <v>80</v>
      </c>
      <c r="AU7" s="407"/>
      <c r="AV7" s="233"/>
      <c r="AW7" s="19" t="s">
        <v>65</v>
      </c>
      <c r="AX7" s="19" t="s">
        <v>65</v>
      </c>
      <c r="AY7" s="19" t="s">
        <v>65</v>
      </c>
      <c r="AZ7" s="19" t="s">
        <v>65</v>
      </c>
      <c r="BA7" s="19" t="s">
        <v>65</v>
      </c>
      <c r="BB7" s="19" t="s">
        <v>65</v>
      </c>
      <c r="BC7" s="19" t="s">
        <v>66</v>
      </c>
      <c r="BD7" s="19" t="s">
        <v>66</v>
      </c>
      <c r="BE7" s="19" t="s">
        <v>65</v>
      </c>
      <c r="BF7" s="19" t="s">
        <v>65</v>
      </c>
      <c r="BG7" s="19" t="s">
        <v>65</v>
      </c>
      <c r="BH7" s="19" t="s">
        <v>65</v>
      </c>
      <c r="BI7" s="19" t="s">
        <v>65</v>
      </c>
      <c r="BJ7" s="19" t="s">
        <v>66</v>
      </c>
      <c r="BK7" s="19" t="s">
        <v>66</v>
      </c>
      <c r="BL7" s="19" t="s">
        <v>65</v>
      </c>
      <c r="BM7" s="19" t="s">
        <v>65</v>
      </c>
      <c r="BN7" s="19" t="s">
        <v>65</v>
      </c>
      <c r="BO7" s="19" t="s">
        <v>65</v>
      </c>
      <c r="BP7" s="19" t="s">
        <v>65</v>
      </c>
      <c r="BQ7" s="19" t="s">
        <v>66</v>
      </c>
      <c r="BR7" s="19"/>
      <c r="BS7" s="19"/>
      <c r="BT7" s="19"/>
      <c r="BU7" s="19"/>
      <c r="BV7" s="19"/>
      <c r="BW7" s="19"/>
      <c r="BX7" s="19" t="s">
        <v>66</v>
      </c>
      <c r="BY7" s="19" t="s">
        <v>66</v>
      </c>
      <c r="BZ7" s="19"/>
      <c r="CA7" s="19" t="s">
        <v>66</v>
      </c>
      <c r="CB7" s="409">
        <f>IF(AU7="OK",1,0)</f>
        <v>0</v>
      </c>
    </row>
    <row r="8" spans="1:80" s="17" customFormat="1" ht="16.5" customHeight="1" outlineLevel="1">
      <c r="A8" s="42">
        <v>2</v>
      </c>
      <c r="B8" s="203" t="s">
        <v>67</v>
      </c>
      <c r="C8" s="59" t="s">
        <v>58</v>
      </c>
      <c r="D8" s="51" t="s">
        <v>68</v>
      </c>
      <c r="E8" s="51" t="s">
        <v>60</v>
      </c>
      <c r="F8" s="51">
        <v>122001210</v>
      </c>
      <c r="G8" s="51" t="s">
        <v>69</v>
      </c>
      <c r="H8" s="694" t="s">
        <v>62</v>
      </c>
      <c r="I8" s="52" t="s">
        <v>63</v>
      </c>
      <c r="J8" s="322">
        <v>146.6</v>
      </c>
      <c r="K8" s="146">
        <f t="shared" ref="K8:K12" si="0">+Q8</f>
        <v>104</v>
      </c>
      <c r="L8" s="146">
        <f t="shared" ref="L8:L12" si="1">+K8-J8</f>
        <v>-42.599999999999994</v>
      </c>
      <c r="M8" s="49">
        <v>1</v>
      </c>
      <c r="N8" s="49">
        <v>30</v>
      </c>
      <c r="O8" s="431">
        <v>19</v>
      </c>
      <c r="P8" s="327" t="s">
        <v>70</v>
      </c>
      <c r="Q8" s="65">
        <v>104</v>
      </c>
      <c r="R8" s="66">
        <f>+S8+U8+W8+Y8+AC8+AE8+AG8+AI8+AK8+AM8+AO8+AQ8+AA8</f>
        <v>119</v>
      </c>
      <c r="S8" s="67">
        <v>19</v>
      </c>
      <c r="T8" s="67">
        <v>0</v>
      </c>
      <c r="U8" s="67">
        <v>6</v>
      </c>
      <c r="V8" s="67">
        <v>0</v>
      </c>
      <c r="W8" s="67">
        <v>4</v>
      </c>
      <c r="X8" s="67">
        <v>0</v>
      </c>
      <c r="Y8" s="67">
        <v>37</v>
      </c>
      <c r="Z8" s="67">
        <v>0</v>
      </c>
      <c r="AA8" s="67">
        <v>36</v>
      </c>
      <c r="AB8" s="67">
        <v>0</v>
      </c>
      <c r="AC8" s="67">
        <v>7</v>
      </c>
      <c r="AD8" s="67">
        <v>0</v>
      </c>
      <c r="AE8" s="67">
        <v>6</v>
      </c>
      <c r="AF8" s="67">
        <v>0</v>
      </c>
      <c r="AG8" s="67">
        <v>0</v>
      </c>
      <c r="AH8" s="67">
        <v>0</v>
      </c>
      <c r="AI8" s="67">
        <v>0</v>
      </c>
      <c r="AJ8" s="67">
        <v>0</v>
      </c>
      <c r="AK8" s="67">
        <v>0</v>
      </c>
      <c r="AL8" s="67">
        <v>0</v>
      </c>
      <c r="AM8" s="67">
        <v>0</v>
      </c>
      <c r="AN8" s="67">
        <v>0</v>
      </c>
      <c r="AO8" s="67">
        <v>4</v>
      </c>
      <c r="AP8" s="67">
        <v>0</v>
      </c>
      <c r="AQ8" s="67">
        <v>0</v>
      </c>
      <c r="AR8" s="67">
        <v>0</v>
      </c>
      <c r="AS8" s="68">
        <v>24</v>
      </c>
      <c r="AT8" s="68">
        <v>95</v>
      </c>
      <c r="AU8" s="407"/>
      <c r="AV8" s="233"/>
      <c r="AW8" s="19" t="s">
        <v>65</v>
      </c>
      <c r="AX8" s="19" t="s">
        <v>65</v>
      </c>
      <c r="AY8" s="19" t="s">
        <v>65</v>
      </c>
      <c r="AZ8" s="19" t="s">
        <v>65</v>
      </c>
      <c r="BA8" s="19" t="s">
        <v>65</v>
      </c>
      <c r="BB8" s="19"/>
      <c r="BC8" s="19" t="s">
        <v>66</v>
      </c>
      <c r="BD8" s="19" t="s">
        <v>66</v>
      </c>
      <c r="BE8" s="19" t="s">
        <v>65</v>
      </c>
      <c r="BF8" s="19" t="s">
        <v>65</v>
      </c>
      <c r="BG8" s="19" t="s">
        <v>65</v>
      </c>
      <c r="BH8" s="19" t="s">
        <v>65</v>
      </c>
      <c r="BI8" s="19"/>
      <c r="BJ8" s="19" t="s">
        <v>66</v>
      </c>
      <c r="BK8" s="19" t="s">
        <v>66</v>
      </c>
      <c r="BL8" s="19" t="s">
        <v>65</v>
      </c>
      <c r="BM8" s="19" t="s">
        <v>71</v>
      </c>
      <c r="BN8" s="19" t="s">
        <v>71</v>
      </c>
      <c r="BO8" s="19" t="s">
        <v>71</v>
      </c>
      <c r="BP8" s="19"/>
      <c r="BQ8" s="19" t="s">
        <v>66</v>
      </c>
      <c r="BR8" s="19"/>
      <c r="BS8" s="19"/>
      <c r="BT8" s="19"/>
      <c r="BU8" s="19"/>
      <c r="BV8" s="19"/>
      <c r="BW8" s="19"/>
      <c r="BX8" s="19" t="s">
        <v>66</v>
      </c>
      <c r="BY8" s="19" t="s">
        <v>66</v>
      </c>
      <c r="BZ8" s="19"/>
      <c r="CA8" s="19" t="s">
        <v>66</v>
      </c>
      <c r="CB8" s="409">
        <f t="shared" ref="CB8:CB38" si="2">IF(AU8="OK",1,0)</f>
        <v>0</v>
      </c>
    </row>
    <row r="9" spans="1:80" s="17" customFormat="1" ht="16.5" customHeight="1" outlineLevel="1">
      <c r="A9" s="42">
        <v>3</v>
      </c>
      <c r="B9" s="203" t="s">
        <v>72</v>
      </c>
      <c r="C9" s="59" t="s">
        <v>58</v>
      </c>
      <c r="D9" s="51" t="s">
        <v>73</v>
      </c>
      <c r="E9" s="51" t="s">
        <v>60</v>
      </c>
      <c r="F9" s="51">
        <v>122001312</v>
      </c>
      <c r="G9" s="51" t="s">
        <v>74</v>
      </c>
      <c r="H9" s="694" t="s">
        <v>62</v>
      </c>
      <c r="I9" s="48" t="s">
        <v>63</v>
      </c>
      <c r="J9" s="322">
        <v>153.93</v>
      </c>
      <c r="K9" s="146">
        <f t="shared" si="0"/>
        <v>88</v>
      </c>
      <c r="L9" s="146">
        <f t="shared" si="1"/>
        <v>-65.930000000000007</v>
      </c>
      <c r="M9" s="49">
        <v>1</v>
      </c>
      <c r="N9" s="49">
        <v>30</v>
      </c>
      <c r="O9" s="431">
        <v>21</v>
      </c>
      <c r="P9" s="327" t="s">
        <v>64</v>
      </c>
      <c r="Q9" s="65">
        <v>88</v>
      </c>
      <c r="R9" s="66">
        <f t="shared" ref="R7:R35" si="3">+S9+U9+W9+Y9+AC9+AE9+AG9+AI9+AK9+AM9+AO9+AQ9+AA9</f>
        <v>64</v>
      </c>
      <c r="S9" s="67">
        <v>0</v>
      </c>
      <c r="T9" s="67">
        <v>0</v>
      </c>
      <c r="U9" s="67">
        <v>0</v>
      </c>
      <c r="V9" s="67">
        <v>0</v>
      </c>
      <c r="W9" s="67">
        <v>0</v>
      </c>
      <c r="X9" s="67">
        <v>0</v>
      </c>
      <c r="Y9" s="67">
        <v>9</v>
      </c>
      <c r="Z9" s="67">
        <v>0</v>
      </c>
      <c r="AA9" s="67">
        <v>51</v>
      </c>
      <c r="AB9" s="67">
        <v>0</v>
      </c>
      <c r="AC9" s="67">
        <v>0</v>
      </c>
      <c r="AD9" s="67">
        <v>0</v>
      </c>
      <c r="AE9" s="67">
        <v>0</v>
      </c>
      <c r="AF9" s="67">
        <v>0</v>
      </c>
      <c r="AG9" s="67">
        <v>0</v>
      </c>
      <c r="AH9" s="67">
        <v>0</v>
      </c>
      <c r="AI9" s="67">
        <v>4</v>
      </c>
      <c r="AJ9" s="67">
        <v>0</v>
      </c>
      <c r="AK9" s="67">
        <v>0</v>
      </c>
      <c r="AL9" s="67">
        <v>0</v>
      </c>
      <c r="AM9" s="67">
        <v>0</v>
      </c>
      <c r="AN9" s="67">
        <v>0</v>
      </c>
      <c r="AO9" s="67">
        <v>0</v>
      </c>
      <c r="AP9" s="67">
        <v>0</v>
      </c>
      <c r="AQ9" s="67">
        <v>0</v>
      </c>
      <c r="AR9" s="67">
        <v>0</v>
      </c>
      <c r="AS9" s="68">
        <v>21</v>
      </c>
      <c r="AT9" s="68">
        <v>43</v>
      </c>
      <c r="AU9" s="407"/>
      <c r="AV9" s="233"/>
      <c r="AW9" s="19" t="s">
        <v>65</v>
      </c>
      <c r="AX9" s="19" t="s">
        <v>65</v>
      </c>
      <c r="AY9" s="19" t="s">
        <v>65</v>
      </c>
      <c r="AZ9" s="19" t="s">
        <v>65</v>
      </c>
      <c r="BA9" s="19" t="s">
        <v>65</v>
      </c>
      <c r="BB9" s="19" t="s">
        <v>65</v>
      </c>
      <c r="BC9" s="19" t="s">
        <v>66</v>
      </c>
      <c r="BD9" s="19" t="s">
        <v>66</v>
      </c>
      <c r="BE9" s="19"/>
      <c r="BF9" s="19"/>
      <c r="BG9" s="19"/>
      <c r="BH9" s="19"/>
      <c r="BI9" s="19"/>
      <c r="BJ9" s="19" t="s">
        <v>66</v>
      </c>
      <c r="BK9" s="19" t="s">
        <v>66</v>
      </c>
      <c r="BL9" s="19"/>
      <c r="BM9" s="19"/>
      <c r="BN9" s="19"/>
      <c r="BO9" s="19"/>
      <c r="BP9" s="19"/>
      <c r="BQ9" s="19" t="s">
        <v>66</v>
      </c>
      <c r="BR9" s="19"/>
      <c r="BS9" s="19"/>
      <c r="BT9" s="19"/>
      <c r="BU9" s="19"/>
      <c r="BV9" s="19"/>
      <c r="BW9" s="19"/>
      <c r="BX9" s="19" t="s">
        <v>66</v>
      </c>
      <c r="BY9" s="19" t="s">
        <v>66</v>
      </c>
      <c r="BZ9" s="19"/>
      <c r="CA9" s="19" t="s">
        <v>66</v>
      </c>
      <c r="CB9" s="409">
        <f t="shared" si="2"/>
        <v>0</v>
      </c>
    </row>
    <row r="10" spans="1:80" ht="16.5" customHeight="1" outlineLevel="1">
      <c r="A10" s="42">
        <v>4</v>
      </c>
      <c r="B10" s="203" t="s">
        <v>75</v>
      </c>
      <c r="C10" s="59" t="s">
        <v>76</v>
      </c>
      <c r="D10" s="51" t="s">
        <v>77</v>
      </c>
      <c r="E10" s="51" t="s">
        <v>78</v>
      </c>
      <c r="F10" s="51">
        <v>122001305</v>
      </c>
      <c r="G10" s="51" t="s">
        <v>79</v>
      </c>
      <c r="H10" s="694" t="s">
        <v>62</v>
      </c>
      <c r="I10" s="48" t="s">
        <v>63</v>
      </c>
      <c r="J10" s="322">
        <v>307.86</v>
      </c>
      <c r="K10" s="146">
        <f t="shared" si="0"/>
        <v>231</v>
      </c>
      <c r="L10" s="146">
        <f t="shared" si="1"/>
        <v>-76.860000000000014</v>
      </c>
      <c r="M10" s="49">
        <v>1</v>
      </c>
      <c r="N10" s="49">
        <v>30</v>
      </c>
      <c r="O10" s="431">
        <v>21</v>
      </c>
      <c r="P10" s="327" t="s">
        <v>64</v>
      </c>
      <c r="Q10" s="65">
        <v>231</v>
      </c>
      <c r="R10" s="66">
        <v>70</v>
      </c>
      <c r="S10" s="67">
        <v>17</v>
      </c>
      <c r="T10" s="67">
        <v>0</v>
      </c>
      <c r="U10" s="67">
        <v>10</v>
      </c>
      <c r="V10" s="67">
        <v>0</v>
      </c>
      <c r="W10" s="67">
        <v>36</v>
      </c>
      <c r="X10" s="67">
        <v>0</v>
      </c>
      <c r="Y10" s="67">
        <v>1</v>
      </c>
      <c r="Z10" s="67">
        <v>0</v>
      </c>
      <c r="AA10" s="67">
        <v>0</v>
      </c>
      <c r="AB10" s="67">
        <v>0</v>
      </c>
      <c r="AC10" s="67">
        <v>0</v>
      </c>
      <c r="AD10" s="67">
        <v>0</v>
      </c>
      <c r="AE10" s="67">
        <v>1</v>
      </c>
      <c r="AF10" s="67">
        <v>0</v>
      </c>
      <c r="AG10" s="67">
        <v>0</v>
      </c>
      <c r="AH10" s="67">
        <v>0</v>
      </c>
      <c r="AI10" s="67">
        <v>5</v>
      </c>
      <c r="AJ10" s="67">
        <v>0</v>
      </c>
      <c r="AK10" s="67">
        <v>0</v>
      </c>
      <c r="AL10" s="67">
        <v>0</v>
      </c>
      <c r="AM10" s="67">
        <v>0</v>
      </c>
      <c r="AN10" s="67">
        <v>0</v>
      </c>
      <c r="AO10" s="67">
        <v>0</v>
      </c>
      <c r="AP10" s="67">
        <v>0</v>
      </c>
      <c r="AQ10" s="67">
        <v>0</v>
      </c>
      <c r="AR10" s="67">
        <v>0</v>
      </c>
      <c r="AS10" s="68">
        <v>17</v>
      </c>
      <c r="AT10" s="68">
        <v>53</v>
      </c>
      <c r="AU10" s="407"/>
      <c r="AV10" s="233"/>
      <c r="AW10" s="19" t="s">
        <v>65</v>
      </c>
      <c r="AX10" s="19" t="s">
        <v>65</v>
      </c>
      <c r="AY10" s="19" t="s">
        <v>65</v>
      </c>
      <c r="AZ10" s="19" t="s">
        <v>65</v>
      </c>
      <c r="BA10" s="19" t="s">
        <v>65</v>
      </c>
      <c r="BB10" s="19" t="s">
        <v>65</v>
      </c>
      <c r="BC10" s="19" t="s">
        <v>66</v>
      </c>
      <c r="BD10" s="19" t="s">
        <v>66</v>
      </c>
      <c r="BE10" s="19" t="s">
        <v>65</v>
      </c>
      <c r="BF10" s="19" t="s">
        <v>65</v>
      </c>
      <c r="BG10" s="19" t="s">
        <v>65</v>
      </c>
      <c r="BH10" s="19" t="s">
        <v>65</v>
      </c>
      <c r="BI10" s="19" t="s">
        <v>65</v>
      </c>
      <c r="BJ10" s="19" t="s">
        <v>66</v>
      </c>
      <c r="BK10" s="19" t="s">
        <v>66</v>
      </c>
      <c r="BL10" s="19" t="s">
        <v>65</v>
      </c>
      <c r="BM10" s="19" t="s">
        <v>65</v>
      </c>
      <c r="BN10" s="19" t="s">
        <v>65</v>
      </c>
      <c r="BO10" s="19" t="s">
        <v>65</v>
      </c>
      <c r="BP10" s="19" t="s">
        <v>65</v>
      </c>
      <c r="BQ10" s="19" t="s">
        <v>66</v>
      </c>
      <c r="BR10" s="19"/>
      <c r="BS10" s="19"/>
      <c r="BT10" s="19"/>
      <c r="BU10" s="19"/>
      <c r="BV10" s="19"/>
      <c r="BW10" s="19"/>
      <c r="BX10" s="19" t="s">
        <v>66</v>
      </c>
      <c r="BY10" s="19" t="s">
        <v>66</v>
      </c>
      <c r="BZ10" s="19"/>
      <c r="CA10" s="19" t="s">
        <v>66</v>
      </c>
      <c r="CB10" s="409">
        <f t="shared" si="2"/>
        <v>0</v>
      </c>
    </row>
    <row r="11" spans="1:80" ht="16.5" customHeight="1" outlineLevel="1">
      <c r="A11" s="42">
        <v>5</v>
      </c>
      <c r="B11" s="203" t="s">
        <v>80</v>
      </c>
      <c r="C11" s="59" t="s">
        <v>76</v>
      </c>
      <c r="D11" s="51" t="s">
        <v>81</v>
      </c>
      <c r="E11" s="51" t="s">
        <v>78</v>
      </c>
      <c r="F11" s="51">
        <v>122001212</v>
      </c>
      <c r="G11" s="51" t="s">
        <v>69</v>
      </c>
      <c r="H11" s="694" t="s">
        <v>62</v>
      </c>
      <c r="I11" s="48" t="s">
        <v>63</v>
      </c>
      <c r="J11" s="322">
        <v>307.86</v>
      </c>
      <c r="K11" s="45">
        <f t="shared" si="0"/>
        <v>224.6</v>
      </c>
      <c r="L11" s="146">
        <f t="shared" si="1"/>
        <v>-83.260000000000019</v>
      </c>
      <c r="M11" s="49">
        <v>1</v>
      </c>
      <c r="N11" s="49">
        <v>30</v>
      </c>
      <c r="O11" s="431">
        <v>21</v>
      </c>
      <c r="P11" s="327" t="s">
        <v>82</v>
      </c>
      <c r="Q11" s="65">
        <v>224.6</v>
      </c>
      <c r="R11" s="66">
        <v>55</v>
      </c>
      <c r="S11" s="67">
        <v>7</v>
      </c>
      <c r="T11" s="67">
        <v>0</v>
      </c>
      <c r="U11" s="67">
        <v>3</v>
      </c>
      <c r="V11" s="67">
        <v>0</v>
      </c>
      <c r="W11" s="67">
        <v>6</v>
      </c>
      <c r="X11" s="67">
        <v>0</v>
      </c>
      <c r="Y11" s="67">
        <v>15</v>
      </c>
      <c r="Z11" s="67">
        <v>0</v>
      </c>
      <c r="AA11" s="67">
        <v>2</v>
      </c>
      <c r="AB11" s="67">
        <v>0</v>
      </c>
      <c r="AC11" s="67">
        <v>5</v>
      </c>
      <c r="AD11" s="67">
        <v>0</v>
      </c>
      <c r="AE11" s="67">
        <v>0</v>
      </c>
      <c r="AF11" s="67">
        <v>0</v>
      </c>
      <c r="AG11" s="67">
        <v>0</v>
      </c>
      <c r="AH11" s="67">
        <v>0</v>
      </c>
      <c r="AI11" s="67">
        <v>4</v>
      </c>
      <c r="AJ11" s="67">
        <v>0</v>
      </c>
      <c r="AK11" s="67">
        <v>0</v>
      </c>
      <c r="AL11" s="67">
        <v>0</v>
      </c>
      <c r="AM11" s="67">
        <v>12</v>
      </c>
      <c r="AN11" s="67">
        <v>0</v>
      </c>
      <c r="AO11" s="67">
        <v>1</v>
      </c>
      <c r="AP11" s="67">
        <v>0</v>
      </c>
      <c r="AQ11" s="67">
        <v>0</v>
      </c>
      <c r="AR11" s="67">
        <v>0</v>
      </c>
      <c r="AS11" s="68">
        <v>20</v>
      </c>
      <c r="AT11" s="68">
        <v>35</v>
      </c>
      <c r="AU11" s="407"/>
      <c r="AV11" s="233"/>
      <c r="AW11" s="19" t="s">
        <v>65</v>
      </c>
      <c r="AX11" s="19" t="s">
        <v>65</v>
      </c>
      <c r="AY11" s="19" t="s">
        <v>65</v>
      </c>
      <c r="AZ11" s="19" t="s">
        <v>65</v>
      </c>
      <c r="BA11" s="19" t="s">
        <v>65</v>
      </c>
      <c r="BB11" s="19"/>
      <c r="BC11" s="19" t="s">
        <v>66</v>
      </c>
      <c r="BD11" s="19" t="s">
        <v>66</v>
      </c>
      <c r="BE11" s="19" t="s">
        <v>65</v>
      </c>
      <c r="BF11" s="19" t="s">
        <v>65</v>
      </c>
      <c r="BG11" s="19" t="s">
        <v>65</v>
      </c>
      <c r="BH11" s="19" t="s">
        <v>65</v>
      </c>
      <c r="BI11" s="19" t="s">
        <v>65</v>
      </c>
      <c r="BJ11" s="19" t="s">
        <v>66</v>
      </c>
      <c r="BK11" s="19" t="s">
        <v>66</v>
      </c>
      <c r="BL11" s="19" t="s">
        <v>65</v>
      </c>
      <c r="BM11" s="19" t="s">
        <v>65</v>
      </c>
      <c r="BN11" s="19" t="s">
        <v>65</v>
      </c>
      <c r="BO11" s="19" t="s">
        <v>65</v>
      </c>
      <c r="BP11" s="19" t="s">
        <v>65</v>
      </c>
      <c r="BQ11" s="19" t="s">
        <v>66</v>
      </c>
      <c r="BR11" s="19"/>
      <c r="BS11" s="19"/>
      <c r="BT11" s="19"/>
      <c r="BU11" s="19"/>
      <c r="BV11" s="19"/>
      <c r="BW11" s="19"/>
      <c r="BX11" s="19" t="s">
        <v>66</v>
      </c>
      <c r="BY11" s="19" t="s">
        <v>66</v>
      </c>
      <c r="BZ11" s="19"/>
      <c r="CA11" s="19" t="s">
        <v>66</v>
      </c>
      <c r="CB11" s="409">
        <f t="shared" si="2"/>
        <v>0</v>
      </c>
    </row>
    <row r="12" spans="1:80" ht="16.5" customHeight="1" outlineLevel="1">
      <c r="A12" s="42">
        <v>6</v>
      </c>
      <c r="B12" s="203" t="s">
        <v>83</v>
      </c>
      <c r="C12" s="59" t="s">
        <v>76</v>
      </c>
      <c r="D12" s="51" t="s">
        <v>84</v>
      </c>
      <c r="E12" s="51" t="s">
        <v>60</v>
      </c>
      <c r="F12" s="51">
        <v>122001317</v>
      </c>
      <c r="G12" s="51" t="s">
        <v>74</v>
      </c>
      <c r="H12" s="694" t="s">
        <v>62</v>
      </c>
      <c r="I12" s="48" t="s">
        <v>63</v>
      </c>
      <c r="J12" s="322">
        <v>153.93</v>
      </c>
      <c r="K12" s="45">
        <f t="shared" si="0"/>
        <v>116</v>
      </c>
      <c r="L12" s="146">
        <f t="shared" si="1"/>
        <v>-37.930000000000007</v>
      </c>
      <c r="M12" s="49">
        <v>1</v>
      </c>
      <c r="N12" s="49">
        <v>30</v>
      </c>
      <c r="O12" s="431">
        <v>21</v>
      </c>
      <c r="P12" s="327" t="s">
        <v>64</v>
      </c>
      <c r="Q12" s="65">
        <v>116</v>
      </c>
      <c r="R12" s="66">
        <v>84</v>
      </c>
      <c r="S12" s="67">
        <v>2</v>
      </c>
      <c r="T12" s="67">
        <v>0</v>
      </c>
      <c r="U12" s="67">
        <v>3</v>
      </c>
      <c r="V12" s="67">
        <v>0</v>
      </c>
      <c r="W12" s="67">
        <v>47</v>
      </c>
      <c r="X12" s="67">
        <v>0</v>
      </c>
      <c r="Y12" s="67">
        <v>3</v>
      </c>
      <c r="Z12" s="67">
        <v>0</v>
      </c>
      <c r="AA12" s="67">
        <v>23</v>
      </c>
      <c r="AB12" s="67">
        <v>0</v>
      </c>
      <c r="AC12" s="67">
        <v>0</v>
      </c>
      <c r="AD12" s="67">
        <v>0</v>
      </c>
      <c r="AE12" s="67">
        <v>1</v>
      </c>
      <c r="AF12" s="67">
        <v>0</v>
      </c>
      <c r="AG12" s="67">
        <v>0</v>
      </c>
      <c r="AH12" s="67">
        <v>0</v>
      </c>
      <c r="AI12" s="67">
        <v>5</v>
      </c>
      <c r="AJ12" s="67">
        <v>0</v>
      </c>
      <c r="AK12" s="67">
        <v>0</v>
      </c>
      <c r="AL12" s="67">
        <v>0</v>
      </c>
      <c r="AM12" s="67">
        <v>0</v>
      </c>
      <c r="AN12" s="67">
        <v>0</v>
      </c>
      <c r="AO12" s="67">
        <v>0</v>
      </c>
      <c r="AP12" s="67">
        <v>0</v>
      </c>
      <c r="AQ12" s="67">
        <v>0</v>
      </c>
      <c r="AR12" s="67">
        <v>0</v>
      </c>
      <c r="AS12" s="68">
        <v>35</v>
      </c>
      <c r="AT12" s="68">
        <v>49</v>
      </c>
      <c r="AU12" s="407"/>
      <c r="AV12" s="233"/>
      <c r="AW12" s="19" t="s">
        <v>65</v>
      </c>
      <c r="AX12" s="19" t="s">
        <v>65</v>
      </c>
      <c r="AY12" s="19" t="s">
        <v>65</v>
      </c>
      <c r="AZ12" s="19" t="s">
        <v>65</v>
      </c>
      <c r="BA12" s="19" t="s">
        <v>65</v>
      </c>
      <c r="BB12" s="19" t="s">
        <v>65</v>
      </c>
      <c r="BC12" s="19" t="s">
        <v>66</v>
      </c>
      <c r="BD12" s="19" t="s">
        <v>66</v>
      </c>
      <c r="BE12" s="19" t="s">
        <v>65</v>
      </c>
      <c r="BF12" s="19" t="s">
        <v>65</v>
      </c>
      <c r="BG12" s="19" t="s">
        <v>65</v>
      </c>
      <c r="BH12" s="19" t="s">
        <v>65</v>
      </c>
      <c r="BI12" s="19" t="s">
        <v>65</v>
      </c>
      <c r="BJ12" s="19" t="s">
        <v>66</v>
      </c>
      <c r="BK12" s="19" t="s">
        <v>66</v>
      </c>
      <c r="BL12" s="19" t="s">
        <v>65</v>
      </c>
      <c r="BM12" s="19" t="s">
        <v>65</v>
      </c>
      <c r="BN12" s="19" t="s">
        <v>65</v>
      </c>
      <c r="BO12" s="19" t="s">
        <v>65</v>
      </c>
      <c r="BP12" s="19" t="s">
        <v>65</v>
      </c>
      <c r="BQ12" s="19" t="s">
        <v>66</v>
      </c>
      <c r="BR12" s="19"/>
      <c r="BS12" s="19"/>
      <c r="BT12" s="19"/>
      <c r="BU12" s="19"/>
      <c r="BV12" s="19"/>
      <c r="BW12" s="19"/>
      <c r="BX12" s="19" t="s">
        <v>66</v>
      </c>
      <c r="BY12" s="19" t="s">
        <v>66</v>
      </c>
      <c r="BZ12" s="19"/>
      <c r="CA12" s="19" t="s">
        <v>66</v>
      </c>
      <c r="CB12" s="409">
        <f t="shared" si="2"/>
        <v>0</v>
      </c>
    </row>
    <row r="13" spans="1:80" ht="16.5" customHeight="1" outlineLevel="1">
      <c r="A13" s="42">
        <v>7</v>
      </c>
      <c r="B13" s="203" t="s">
        <v>85</v>
      </c>
      <c r="C13" s="59" t="s">
        <v>76</v>
      </c>
      <c r="D13" s="51" t="s">
        <v>86</v>
      </c>
      <c r="E13" s="51" t="s">
        <v>60</v>
      </c>
      <c r="F13" s="51">
        <v>122001279</v>
      </c>
      <c r="G13" s="51" t="s">
        <v>87</v>
      </c>
      <c r="H13" s="695" t="s">
        <v>88</v>
      </c>
      <c r="I13" s="44" t="s">
        <v>89</v>
      </c>
      <c r="J13" s="430">
        <v>8</v>
      </c>
      <c r="K13" s="45">
        <f>+Q13</f>
        <v>0</v>
      </c>
      <c r="L13" s="46">
        <f>+K13-J13</f>
        <v>-8</v>
      </c>
      <c r="M13" s="50">
        <v>24</v>
      </c>
      <c r="N13" s="50">
        <v>24</v>
      </c>
      <c r="O13" s="432">
        <v>0.54570259208731242</v>
      </c>
      <c r="P13" s="327"/>
      <c r="Q13" s="69"/>
      <c r="R13" s="66">
        <f t="shared" si="3"/>
        <v>0</v>
      </c>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6"/>
      <c r="AT13" s="66"/>
      <c r="AU13" s="407"/>
      <c r="AV13" s="233"/>
      <c r="AW13" s="19"/>
      <c r="AX13" s="19"/>
      <c r="AY13" s="19"/>
      <c r="AZ13" s="19"/>
      <c r="BA13" s="19"/>
      <c r="BB13" s="19"/>
      <c r="BC13" s="19" t="s">
        <v>66</v>
      </c>
      <c r="BD13" s="19" t="s">
        <v>66</v>
      </c>
      <c r="BE13" s="19"/>
      <c r="BF13" s="19"/>
      <c r="BG13" s="19"/>
      <c r="BH13" s="19"/>
      <c r="BI13" s="19"/>
      <c r="BJ13" s="19" t="s">
        <v>66</v>
      </c>
      <c r="BK13" s="19" t="s">
        <v>66</v>
      </c>
      <c r="BL13" s="19"/>
      <c r="BM13" s="19"/>
      <c r="BN13" s="19"/>
      <c r="BO13" s="19"/>
      <c r="BP13" s="19"/>
      <c r="BQ13" s="19" t="s">
        <v>66</v>
      </c>
      <c r="BR13" s="19"/>
      <c r="BS13" s="19"/>
      <c r="BT13" s="19"/>
      <c r="BU13" s="19"/>
      <c r="BV13" s="19"/>
      <c r="BW13" s="19"/>
      <c r="BX13" s="19" t="s">
        <v>66</v>
      </c>
      <c r="BY13" s="19" t="s">
        <v>66</v>
      </c>
      <c r="BZ13" s="19"/>
      <c r="CA13" s="19" t="s">
        <v>66</v>
      </c>
      <c r="CB13" s="409">
        <f t="shared" si="2"/>
        <v>0</v>
      </c>
    </row>
    <row r="14" spans="1:80" ht="16.5" customHeight="1" outlineLevel="1">
      <c r="A14" s="42">
        <v>8</v>
      </c>
      <c r="B14" s="203" t="s">
        <v>90</v>
      </c>
      <c r="C14" s="59" t="s">
        <v>76</v>
      </c>
      <c r="D14" s="51" t="s">
        <v>91</v>
      </c>
      <c r="E14" s="51" t="s">
        <v>60</v>
      </c>
      <c r="F14" s="51">
        <v>122001232</v>
      </c>
      <c r="G14" s="51" t="s">
        <v>87</v>
      </c>
      <c r="H14" s="695" t="s">
        <v>88</v>
      </c>
      <c r="I14" s="44" t="s">
        <v>89</v>
      </c>
      <c r="J14" s="430">
        <v>8</v>
      </c>
      <c r="K14" s="45">
        <f t="shared" ref="K14:K21" si="4">+Q14</f>
        <v>0</v>
      </c>
      <c r="L14" s="46">
        <f t="shared" ref="L14:L21" si="5">+K14-J14</f>
        <v>-8</v>
      </c>
      <c r="M14" s="50">
        <v>27</v>
      </c>
      <c r="N14" s="50">
        <v>27</v>
      </c>
      <c r="O14" s="432">
        <v>0.54570259208731242</v>
      </c>
      <c r="P14" s="327"/>
      <c r="Q14" s="69"/>
      <c r="R14" s="66">
        <f t="shared" si="3"/>
        <v>0</v>
      </c>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6"/>
      <c r="AT14" s="66"/>
      <c r="AU14" s="407"/>
      <c r="AV14" s="233"/>
      <c r="AW14" s="19"/>
      <c r="AX14" s="19"/>
      <c r="AY14" s="19"/>
      <c r="AZ14" s="19"/>
      <c r="BA14" s="19"/>
      <c r="BB14" s="19"/>
      <c r="BC14" s="19" t="s">
        <v>66</v>
      </c>
      <c r="BD14" s="19" t="s">
        <v>66</v>
      </c>
      <c r="BE14" s="19"/>
      <c r="BF14" s="19"/>
      <c r="BG14" s="19"/>
      <c r="BH14" s="19"/>
      <c r="BI14" s="19"/>
      <c r="BJ14" s="19" t="s">
        <v>66</v>
      </c>
      <c r="BK14" s="19" t="s">
        <v>66</v>
      </c>
      <c r="BL14" s="19"/>
      <c r="BM14" s="19"/>
      <c r="BN14" s="19"/>
      <c r="BO14" s="19"/>
      <c r="BP14" s="19"/>
      <c r="BQ14" s="19" t="s">
        <v>66</v>
      </c>
      <c r="BR14" s="19"/>
      <c r="BS14" s="19"/>
      <c r="BT14" s="19"/>
      <c r="BU14" s="19"/>
      <c r="BV14" s="19"/>
      <c r="BW14" s="19"/>
      <c r="BX14" s="19" t="s">
        <v>66</v>
      </c>
      <c r="BY14" s="19" t="s">
        <v>66</v>
      </c>
      <c r="BZ14" s="19"/>
      <c r="CA14" s="19" t="s">
        <v>66</v>
      </c>
      <c r="CB14" s="409">
        <f t="shared" si="2"/>
        <v>0</v>
      </c>
    </row>
    <row r="15" spans="1:80" ht="15" customHeight="1" outlineLevel="1">
      <c r="A15" s="42">
        <v>9</v>
      </c>
      <c r="B15" s="203" t="s">
        <v>92</v>
      </c>
      <c r="C15" s="59" t="s">
        <v>58</v>
      </c>
      <c r="D15" s="51" t="s">
        <v>93</v>
      </c>
      <c r="E15" s="51" t="s">
        <v>60</v>
      </c>
      <c r="F15" s="51">
        <v>122001250</v>
      </c>
      <c r="G15" s="51" t="s">
        <v>87</v>
      </c>
      <c r="H15" s="695" t="s">
        <v>88</v>
      </c>
      <c r="I15" s="44" t="s">
        <v>89</v>
      </c>
      <c r="J15" s="430">
        <v>8</v>
      </c>
      <c r="K15" s="45">
        <f t="shared" si="4"/>
        <v>0</v>
      </c>
      <c r="L15" s="46">
        <f t="shared" si="5"/>
        <v>-8</v>
      </c>
      <c r="M15" s="50">
        <v>30</v>
      </c>
      <c r="N15" s="50">
        <v>30</v>
      </c>
      <c r="O15" s="432">
        <v>0.54570259208731242</v>
      </c>
      <c r="P15" s="327"/>
      <c r="Q15" s="65"/>
      <c r="R15" s="66">
        <f t="shared" si="3"/>
        <v>0</v>
      </c>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8"/>
      <c r="AT15" s="68"/>
      <c r="AU15" s="407"/>
      <c r="AV15" s="233"/>
      <c r="AW15" s="19"/>
      <c r="AX15" s="19"/>
      <c r="AY15" s="19"/>
      <c r="AZ15" s="19"/>
      <c r="BA15" s="19"/>
      <c r="BB15" s="19"/>
      <c r="BC15" s="19" t="s">
        <v>66</v>
      </c>
      <c r="BD15" s="19" t="s">
        <v>66</v>
      </c>
      <c r="BE15" s="19"/>
      <c r="BF15" s="19"/>
      <c r="BG15" s="19"/>
      <c r="BH15" s="19"/>
      <c r="BI15" s="19"/>
      <c r="BJ15" s="19" t="s">
        <v>66</v>
      </c>
      <c r="BK15" s="19" t="s">
        <v>66</v>
      </c>
      <c r="BL15" s="19"/>
      <c r="BM15" s="19"/>
      <c r="BN15" s="19"/>
      <c r="BO15" s="19"/>
      <c r="BP15" s="19"/>
      <c r="BQ15" s="19" t="s">
        <v>66</v>
      </c>
      <c r="BR15" s="19"/>
      <c r="BS15" s="19"/>
      <c r="BT15" s="19"/>
      <c r="BU15" s="19"/>
      <c r="BV15" s="19"/>
      <c r="BW15" s="19"/>
      <c r="BX15" s="19" t="s">
        <v>66</v>
      </c>
      <c r="BY15" s="19" t="s">
        <v>66</v>
      </c>
      <c r="BZ15" s="19"/>
      <c r="CA15" s="19" t="s">
        <v>66</v>
      </c>
      <c r="CB15" s="409">
        <f t="shared" si="2"/>
        <v>0</v>
      </c>
    </row>
    <row r="16" spans="1:80" ht="15" customHeight="1" outlineLevel="1">
      <c r="A16" s="42">
        <v>10</v>
      </c>
      <c r="B16" s="203" t="s">
        <v>94</v>
      </c>
      <c r="C16" s="59" t="s">
        <v>76</v>
      </c>
      <c r="D16" s="51" t="s">
        <v>95</v>
      </c>
      <c r="E16" s="51" t="s">
        <v>60</v>
      </c>
      <c r="F16" s="51">
        <v>122001269</v>
      </c>
      <c r="G16" s="51" t="s">
        <v>87</v>
      </c>
      <c r="H16" s="695" t="s">
        <v>88</v>
      </c>
      <c r="I16" s="44" t="s">
        <v>89</v>
      </c>
      <c r="J16" s="430">
        <v>8</v>
      </c>
      <c r="K16" s="45">
        <f t="shared" ref="K16:K17" si="6">+Q16</f>
        <v>0</v>
      </c>
      <c r="L16" s="46">
        <f t="shared" ref="L16:L17" si="7">+K16-J16</f>
        <v>-8</v>
      </c>
      <c r="M16" s="50">
        <v>27</v>
      </c>
      <c r="N16" s="50">
        <v>27</v>
      </c>
      <c r="O16" s="432">
        <v>0.54570259208731242</v>
      </c>
      <c r="P16" s="327"/>
      <c r="Q16" s="65"/>
      <c r="R16" s="66">
        <f t="shared" si="3"/>
        <v>0</v>
      </c>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8"/>
      <c r="AT16" s="68"/>
      <c r="AU16" s="407"/>
      <c r="AV16" s="233"/>
      <c r="AW16" s="19"/>
      <c r="AX16" s="19"/>
      <c r="AY16" s="19"/>
      <c r="AZ16" s="19"/>
      <c r="BA16" s="19"/>
      <c r="BB16" s="19"/>
      <c r="BC16" s="19" t="s">
        <v>66</v>
      </c>
      <c r="BD16" s="19" t="s">
        <v>66</v>
      </c>
      <c r="BE16" s="19"/>
      <c r="BF16" s="19"/>
      <c r="BG16" s="19"/>
      <c r="BH16" s="19"/>
      <c r="BI16" s="19"/>
      <c r="BJ16" s="19" t="s">
        <v>66</v>
      </c>
      <c r="BK16" s="19" t="s">
        <v>66</v>
      </c>
      <c r="BL16" s="19"/>
      <c r="BM16" s="19"/>
      <c r="BN16" s="19"/>
      <c r="BO16" s="19"/>
      <c r="BP16" s="19"/>
      <c r="BQ16" s="19" t="s">
        <v>66</v>
      </c>
      <c r="BR16" s="19"/>
      <c r="BS16" s="19"/>
      <c r="BT16" s="19"/>
      <c r="BU16" s="19"/>
      <c r="BV16" s="19"/>
      <c r="BW16" s="19"/>
      <c r="BX16" s="19" t="s">
        <v>66</v>
      </c>
      <c r="BY16" s="19" t="s">
        <v>66</v>
      </c>
      <c r="BZ16" s="19"/>
      <c r="CA16" s="19" t="s">
        <v>66</v>
      </c>
      <c r="CB16" s="409"/>
    </row>
    <row r="17" spans="1:80" ht="15" customHeight="1" outlineLevel="1">
      <c r="A17" s="42">
        <v>11</v>
      </c>
      <c r="B17" s="203" t="s">
        <v>96</v>
      </c>
      <c r="C17" s="59" t="s">
        <v>58</v>
      </c>
      <c r="D17" s="51" t="s">
        <v>97</v>
      </c>
      <c r="E17" s="51" t="s">
        <v>60</v>
      </c>
      <c r="F17" s="51">
        <v>122001275</v>
      </c>
      <c r="G17" s="51" t="s">
        <v>87</v>
      </c>
      <c r="H17" s="695" t="s">
        <v>88</v>
      </c>
      <c r="I17" s="44" t="s">
        <v>89</v>
      </c>
      <c r="J17" s="430">
        <v>8</v>
      </c>
      <c r="K17" s="45">
        <f t="shared" si="6"/>
        <v>0</v>
      </c>
      <c r="L17" s="46">
        <f t="shared" si="7"/>
        <v>-8</v>
      </c>
      <c r="M17" s="50">
        <v>25</v>
      </c>
      <c r="N17" s="50">
        <v>25</v>
      </c>
      <c r="O17" s="432">
        <v>0.54570259208731242</v>
      </c>
      <c r="P17" s="327"/>
      <c r="Q17" s="65"/>
      <c r="R17" s="66">
        <f t="shared" si="3"/>
        <v>0</v>
      </c>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8"/>
      <c r="AT17" s="68"/>
      <c r="AU17" s="407"/>
      <c r="AV17" s="233"/>
      <c r="AW17" s="19"/>
      <c r="AX17" s="19"/>
      <c r="AY17" s="19"/>
      <c r="AZ17" s="19"/>
      <c r="BA17" s="19"/>
      <c r="BB17" s="19"/>
      <c r="BC17" s="19" t="s">
        <v>66</v>
      </c>
      <c r="BD17" s="19" t="s">
        <v>66</v>
      </c>
      <c r="BE17" s="19"/>
      <c r="BF17" s="19"/>
      <c r="BG17" s="19"/>
      <c r="BH17" s="19"/>
      <c r="BI17" s="19"/>
      <c r="BJ17" s="19" t="s">
        <v>66</v>
      </c>
      <c r="BK17" s="19" t="s">
        <v>66</v>
      </c>
      <c r="BL17" s="19"/>
      <c r="BM17" s="19"/>
      <c r="BN17" s="19"/>
      <c r="BO17" s="19"/>
      <c r="BP17" s="19"/>
      <c r="BQ17" s="19" t="s">
        <v>66</v>
      </c>
      <c r="BR17" s="19"/>
      <c r="BS17" s="19"/>
      <c r="BT17" s="19"/>
      <c r="BU17" s="19"/>
      <c r="BV17" s="19"/>
      <c r="BW17" s="19"/>
      <c r="BX17" s="19" t="s">
        <v>66</v>
      </c>
      <c r="BY17" s="19" t="s">
        <v>66</v>
      </c>
      <c r="BZ17" s="19"/>
      <c r="CA17" s="19" t="s">
        <v>66</v>
      </c>
      <c r="CB17" s="409">
        <f t="shared" si="2"/>
        <v>0</v>
      </c>
    </row>
    <row r="18" spans="1:80" ht="15" customHeight="1" outlineLevel="1">
      <c r="A18" s="42">
        <v>12</v>
      </c>
      <c r="B18" s="47" t="s">
        <v>98</v>
      </c>
      <c r="C18" s="59" t="s">
        <v>58</v>
      </c>
      <c r="D18" s="51" t="s">
        <v>99</v>
      </c>
      <c r="E18" s="51" t="s">
        <v>60</v>
      </c>
      <c r="F18" s="51">
        <v>122001233</v>
      </c>
      <c r="G18" s="51" t="s">
        <v>87</v>
      </c>
      <c r="H18" s="695" t="s">
        <v>88</v>
      </c>
      <c r="I18" s="44" t="s">
        <v>89</v>
      </c>
      <c r="J18" s="430">
        <v>8</v>
      </c>
      <c r="K18" s="45">
        <f t="shared" si="4"/>
        <v>0</v>
      </c>
      <c r="L18" s="46">
        <f t="shared" si="5"/>
        <v>-8</v>
      </c>
      <c r="M18" s="50">
        <v>26</v>
      </c>
      <c r="N18" s="50">
        <v>26</v>
      </c>
      <c r="O18" s="432">
        <v>0.54570259208731242</v>
      </c>
      <c r="P18" s="327"/>
      <c r="Q18" s="65"/>
      <c r="R18" s="66">
        <f t="shared" si="3"/>
        <v>0</v>
      </c>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8"/>
      <c r="AT18" s="68"/>
      <c r="AU18" s="407"/>
      <c r="AV18" s="233"/>
      <c r="AW18" s="19"/>
      <c r="AX18" s="19"/>
      <c r="AY18" s="19"/>
      <c r="AZ18" s="19"/>
      <c r="BA18" s="19"/>
      <c r="BB18" s="19"/>
      <c r="BC18" s="19" t="s">
        <v>66</v>
      </c>
      <c r="BD18" s="19" t="s">
        <v>66</v>
      </c>
      <c r="BE18" s="19"/>
      <c r="BF18" s="19"/>
      <c r="BG18" s="19"/>
      <c r="BH18" s="19"/>
      <c r="BI18" s="19"/>
      <c r="BJ18" s="19" t="s">
        <v>66</v>
      </c>
      <c r="BK18" s="19" t="s">
        <v>66</v>
      </c>
      <c r="BL18" s="19"/>
      <c r="BM18" s="19"/>
      <c r="BN18" s="19"/>
      <c r="BO18" s="19"/>
      <c r="BP18" s="19"/>
      <c r="BQ18" s="19" t="s">
        <v>66</v>
      </c>
      <c r="BR18" s="19"/>
      <c r="BS18" s="19"/>
      <c r="BT18" s="19"/>
      <c r="BU18" s="19"/>
      <c r="BV18" s="19"/>
      <c r="BW18" s="19"/>
      <c r="BX18" s="19" t="s">
        <v>66</v>
      </c>
      <c r="BY18" s="19" t="s">
        <v>66</v>
      </c>
      <c r="BZ18" s="19"/>
      <c r="CA18" s="19" t="s">
        <v>66</v>
      </c>
      <c r="CB18" s="409">
        <f t="shared" si="2"/>
        <v>0</v>
      </c>
    </row>
    <row r="19" spans="1:80" ht="15" customHeight="1" outlineLevel="1">
      <c r="A19" s="42">
        <v>13</v>
      </c>
      <c r="B19" s="47" t="s">
        <v>100</v>
      </c>
      <c r="C19" s="59" t="s">
        <v>58</v>
      </c>
      <c r="D19" s="51" t="s">
        <v>101</v>
      </c>
      <c r="E19" s="51" t="s">
        <v>60</v>
      </c>
      <c r="F19" s="51">
        <v>122001260</v>
      </c>
      <c r="G19" s="51" t="s">
        <v>87</v>
      </c>
      <c r="H19" s="695" t="s">
        <v>88</v>
      </c>
      <c r="I19" s="44" t="s">
        <v>89</v>
      </c>
      <c r="J19" s="430">
        <v>8</v>
      </c>
      <c r="K19" s="45">
        <f t="shared" si="4"/>
        <v>0</v>
      </c>
      <c r="L19" s="46">
        <f t="shared" si="5"/>
        <v>-8</v>
      </c>
      <c r="M19" s="50">
        <v>30</v>
      </c>
      <c r="N19" s="50">
        <v>30</v>
      </c>
      <c r="O19" s="432">
        <v>0.54570259208731242</v>
      </c>
      <c r="P19" s="327"/>
      <c r="Q19" s="65"/>
      <c r="R19" s="66">
        <f t="shared" si="3"/>
        <v>0</v>
      </c>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8"/>
      <c r="AT19" s="68"/>
      <c r="AU19" s="407"/>
      <c r="AV19" s="233"/>
      <c r="AW19" s="19"/>
      <c r="AX19" s="19"/>
      <c r="AY19" s="19"/>
      <c r="AZ19" s="19"/>
      <c r="BA19" s="19"/>
      <c r="BB19" s="19"/>
      <c r="BC19" s="19" t="s">
        <v>66</v>
      </c>
      <c r="BD19" s="19" t="s">
        <v>66</v>
      </c>
      <c r="BE19" s="19"/>
      <c r="BF19" s="19"/>
      <c r="BG19" s="19"/>
      <c r="BH19" s="19"/>
      <c r="BI19" s="19"/>
      <c r="BJ19" s="19" t="s">
        <v>66</v>
      </c>
      <c r="BK19" s="19" t="s">
        <v>66</v>
      </c>
      <c r="BL19" s="19"/>
      <c r="BM19" s="19"/>
      <c r="BN19" s="19"/>
      <c r="BO19" s="19"/>
      <c r="BP19" s="19"/>
      <c r="BQ19" s="19" t="s">
        <v>66</v>
      </c>
      <c r="BR19" s="19"/>
      <c r="BS19" s="19"/>
      <c r="BT19" s="19"/>
      <c r="BU19" s="19"/>
      <c r="BV19" s="19"/>
      <c r="BW19" s="19"/>
      <c r="BX19" s="19" t="s">
        <v>66</v>
      </c>
      <c r="BY19" s="19" t="s">
        <v>66</v>
      </c>
      <c r="BZ19" s="19"/>
      <c r="CA19" s="19" t="s">
        <v>66</v>
      </c>
      <c r="CB19" s="409">
        <f t="shared" si="2"/>
        <v>0</v>
      </c>
    </row>
    <row r="20" spans="1:80" ht="15" customHeight="1" outlineLevel="1">
      <c r="A20" s="42">
        <v>14</v>
      </c>
      <c r="B20" s="47" t="s">
        <v>102</v>
      </c>
      <c r="C20" s="59" t="s">
        <v>76</v>
      </c>
      <c r="D20" s="51" t="s">
        <v>103</v>
      </c>
      <c r="E20" s="51" t="s">
        <v>60</v>
      </c>
      <c r="F20" s="51">
        <v>122001237</v>
      </c>
      <c r="G20" s="51" t="s">
        <v>87</v>
      </c>
      <c r="H20" s="695" t="s">
        <v>88</v>
      </c>
      <c r="I20" s="44" t="s">
        <v>89</v>
      </c>
      <c r="J20" s="430">
        <v>8</v>
      </c>
      <c r="K20" s="45">
        <f t="shared" si="4"/>
        <v>0</v>
      </c>
      <c r="L20" s="46">
        <f t="shared" si="5"/>
        <v>-8</v>
      </c>
      <c r="M20" s="50">
        <v>24</v>
      </c>
      <c r="N20" s="50">
        <v>24</v>
      </c>
      <c r="O20" s="432">
        <v>0.54570259208731242</v>
      </c>
      <c r="P20" s="327"/>
      <c r="Q20" s="65"/>
      <c r="R20" s="66">
        <f t="shared" si="3"/>
        <v>0</v>
      </c>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8"/>
      <c r="AT20" s="68"/>
      <c r="AU20" s="407"/>
      <c r="AV20" s="233"/>
      <c r="AW20" s="19"/>
      <c r="AX20" s="19"/>
      <c r="AY20" s="19"/>
      <c r="AZ20" s="19"/>
      <c r="BA20" s="19"/>
      <c r="BB20" s="19"/>
      <c r="BC20" s="19" t="s">
        <v>66</v>
      </c>
      <c r="BD20" s="19" t="s">
        <v>66</v>
      </c>
      <c r="BE20" s="19"/>
      <c r="BF20" s="19"/>
      <c r="BG20" s="19"/>
      <c r="BH20" s="19"/>
      <c r="BI20" s="19"/>
      <c r="BJ20" s="19" t="s">
        <v>66</v>
      </c>
      <c r="BK20" s="19" t="s">
        <v>66</v>
      </c>
      <c r="BL20" s="19"/>
      <c r="BM20" s="19"/>
      <c r="BN20" s="19"/>
      <c r="BO20" s="19"/>
      <c r="BP20" s="19"/>
      <c r="BQ20" s="19" t="s">
        <v>66</v>
      </c>
      <c r="BR20" s="19"/>
      <c r="BS20" s="19"/>
      <c r="BT20" s="19"/>
      <c r="BU20" s="19"/>
      <c r="BV20" s="19"/>
      <c r="BW20" s="19"/>
      <c r="BX20" s="19" t="s">
        <v>66</v>
      </c>
      <c r="BY20" s="19" t="s">
        <v>66</v>
      </c>
      <c r="BZ20" s="19"/>
      <c r="CA20" s="19" t="s">
        <v>66</v>
      </c>
      <c r="CB20" s="409">
        <f t="shared" si="2"/>
        <v>0</v>
      </c>
    </row>
    <row r="21" spans="1:80" ht="15" customHeight="1" outlineLevel="1">
      <c r="A21" s="42">
        <v>15</v>
      </c>
      <c r="B21" s="674" t="s">
        <v>104</v>
      </c>
      <c r="C21" s="59" t="s">
        <v>76</v>
      </c>
      <c r="D21" s="51" t="s">
        <v>105</v>
      </c>
      <c r="E21" s="51" t="s">
        <v>78</v>
      </c>
      <c r="F21" s="51">
        <v>122001313</v>
      </c>
      <c r="G21" s="51" t="s">
        <v>74</v>
      </c>
      <c r="H21" s="695" t="s">
        <v>88</v>
      </c>
      <c r="I21" s="44" t="s">
        <v>106</v>
      </c>
      <c r="J21" s="430">
        <v>124</v>
      </c>
      <c r="K21" s="45">
        <f t="shared" si="4"/>
        <v>136</v>
      </c>
      <c r="L21" s="46">
        <f t="shared" si="5"/>
        <v>12</v>
      </c>
      <c r="M21" s="50">
        <v>1</v>
      </c>
      <c r="N21" s="50">
        <v>11</v>
      </c>
      <c r="O21" s="432">
        <v>8.4583901773533423</v>
      </c>
      <c r="P21" s="327" t="s">
        <v>107</v>
      </c>
      <c r="Q21" s="65">
        <v>136</v>
      </c>
      <c r="R21" s="66">
        <f>+S21+U21+W21+Y21+AC21+AE21+AG21+AI21+AK21+AM21+AO21+AQ21+AA21</f>
        <v>38</v>
      </c>
      <c r="S21" s="67">
        <v>5</v>
      </c>
      <c r="T21" s="67">
        <v>0</v>
      </c>
      <c r="U21" s="67">
        <v>6</v>
      </c>
      <c r="V21" s="67">
        <v>0</v>
      </c>
      <c r="W21" s="67">
        <v>9</v>
      </c>
      <c r="X21" s="67">
        <v>0</v>
      </c>
      <c r="Y21" s="67">
        <v>1</v>
      </c>
      <c r="Z21" s="67">
        <v>0</v>
      </c>
      <c r="AA21" s="67">
        <v>0</v>
      </c>
      <c r="AB21" s="67">
        <v>0</v>
      </c>
      <c r="AC21" s="67">
        <v>4</v>
      </c>
      <c r="AD21" s="67">
        <v>0</v>
      </c>
      <c r="AE21" s="67">
        <v>1</v>
      </c>
      <c r="AF21" s="67">
        <v>0</v>
      </c>
      <c r="AG21" s="67">
        <v>1</v>
      </c>
      <c r="AH21" s="67">
        <v>0</v>
      </c>
      <c r="AI21" s="67">
        <v>11</v>
      </c>
      <c r="AJ21" s="67">
        <v>0</v>
      </c>
      <c r="AK21" s="67">
        <v>0</v>
      </c>
      <c r="AL21" s="67">
        <v>0</v>
      </c>
      <c r="AM21" s="67">
        <v>0</v>
      </c>
      <c r="AN21" s="67">
        <v>0</v>
      </c>
      <c r="AO21" s="67">
        <v>0</v>
      </c>
      <c r="AP21" s="67">
        <v>0</v>
      </c>
      <c r="AQ21" s="67">
        <v>0</v>
      </c>
      <c r="AR21" s="67">
        <v>0</v>
      </c>
      <c r="AS21" s="68">
        <v>23</v>
      </c>
      <c r="AT21" s="68">
        <v>15</v>
      </c>
      <c r="AU21" s="407"/>
      <c r="AV21" s="228">
        <v>0.04</v>
      </c>
      <c r="AW21" s="19" t="s">
        <v>65</v>
      </c>
      <c r="AX21" s="19" t="s">
        <v>65</v>
      </c>
      <c r="AY21" s="19" t="s">
        <v>65</v>
      </c>
      <c r="AZ21" s="19" t="s">
        <v>65</v>
      </c>
      <c r="BA21" s="19" t="s">
        <v>65</v>
      </c>
      <c r="BB21" s="19" t="s">
        <v>65</v>
      </c>
      <c r="BC21" s="19" t="s">
        <v>66</v>
      </c>
      <c r="BD21" s="19" t="s">
        <v>66</v>
      </c>
      <c r="BE21" s="19" t="s">
        <v>65</v>
      </c>
      <c r="BF21" s="19" t="s">
        <v>65</v>
      </c>
      <c r="BG21" s="19" t="s">
        <v>65</v>
      </c>
      <c r="BH21" s="19"/>
      <c r="BI21" s="19"/>
      <c r="BJ21" s="19" t="s">
        <v>66</v>
      </c>
      <c r="BK21" s="19" t="s">
        <v>66</v>
      </c>
      <c r="BL21" s="19"/>
      <c r="BM21" s="19"/>
      <c r="BN21" s="19"/>
      <c r="BO21" s="19"/>
      <c r="BP21" s="19"/>
      <c r="BQ21" s="19" t="s">
        <v>66</v>
      </c>
      <c r="BR21" s="19"/>
      <c r="BS21" s="19"/>
      <c r="BT21" s="19"/>
      <c r="BU21" s="19"/>
      <c r="BV21" s="19"/>
      <c r="BW21" s="19"/>
      <c r="BX21" s="19" t="s">
        <v>66</v>
      </c>
      <c r="BY21" s="19" t="s">
        <v>66</v>
      </c>
      <c r="BZ21" s="19"/>
      <c r="CA21" s="19" t="s">
        <v>66</v>
      </c>
      <c r="CB21" s="409"/>
    </row>
    <row r="22" spans="1:80" ht="15" customHeight="1" outlineLevel="1">
      <c r="A22" s="42">
        <v>16</v>
      </c>
      <c r="B22" s="47" t="s">
        <v>108</v>
      </c>
      <c r="C22" s="59" t="s">
        <v>58</v>
      </c>
      <c r="D22" s="51" t="s">
        <v>109</v>
      </c>
      <c r="E22" s="51" t="s">
        <v>60</v>
      </c>
      <c r="F22" s="51">
        <v>122001217</v>
      </c>
      <c r="G22" s="51" t="s">
        <v>69</v>
      </c>
      <c r="H22" s="695" t="s">
        <v>88</v>
      </c>
      <c r="I22" s="44" t="s">
        <v>106</v>
      </c>
      <c r="J22" s="430">
        <v>88</v>
      </c>
      <c r="K22" s="45">
        <f>+Q22</f>
        <v>96</v>
      </c>
      <c r="L22" s="46">
        <f>+K22-J22</f>
        <v>8</v>
      </c>
      <c r="M22" s="50">
        <v>12</v>
      </c>
      <c r="N22" s="50">
        <v>20</v>
      </c>
      <c r="O22" s="432">
        <v>6.0027285129604362</v>
      </c>
      <c r="P22" s="327" t="s">
        <v>110</v>
      </c>
      <c r="Q22" s="65">
        <v>96</v>
      </c>
      <c r="R22" s="66">
        <v>30</v>
      </c>
      <c r="S22" s="67">
        <v>3</v>
      </c>
      <c r="T22" s="67">
        <v>0</v>
      </c>
      <c r="U22" s="67">
        <v>8</v>
      </c>
      <c r="V22" s="67">
        <v>0</v>
      </c>
      <c r="W22" s="67">
        <v>6</v>
      </c>
      <c r="X22" s="67">
        <v>0</v>
      </c>
      <c r="Y22" s="67">
        <v>2</v>
      </c>
      <c r="Z22" s="67">
        <v>0</v>
      </c>
      <c r="AA22" s="67">
        <v>1</v>
      </c>
      <c r="AB22" s="67">
        <v>0</v>
      </c>
      <c r="AC22" s="67">
        <v>5</v>
      </c>
      <c r="AD22" s="67">
        <v>0</v>
      </c>
      <c r="AE22" s="67">
        <v>0</v>
      </c>
      <c r="AF22" s="67">
        <v>0</v>
      </c>
      <c r="AG22" s="67">
        <v>1</v>
      </c>
      <c r="AH22" s="67">
        <v>0</v>
      </c>
      <c r="AI22" s="67">
        <v>2</v>
      </c>
      <c r="AJ22" s="67">
        <v>0</v>
      </c>
      <c r="AK22" s="67">
        <v>0</v>
      </c>
      <c r="AL22" s="67">
        <v>0</v>
      </c>
      <c r="AM22" s="67">
        <v>1</v>
      </c>
      <c r="AN22" s="67">
        <v>0</v>
      </c>
      <c r="AO22" s="67">
        <v>1</v>
      </c>
      <c r="AP22" s="67">
        <v>0</v>
      </c>
      <c r="AQ22" s="67">
        <v>0</v>
      </c>
      <c r="AR22" s="67">
        <v>0</v>
      </c>
      <c r="AS22" s="68">
        <v>19</v>
      </c>
      <c r="AT22" s="68">
        <v>11</v>
      </c>
      <c r="AU22" s="407"/>
      <c r="AV22" s="233"/>
      <c r="AW22" s="19"/>
      <c r="AX22" s="19"/>
      <c r="AY22" s="19"/>
      <c r="AZ22" s="19"/>
      <c r="BA22" s="19"/>
      <c r="BB22" s="19"/>
      <c r="BC22" s="19" t="s">
        <v>66</v>
      </c>
      <c r="BD22" s="19" t="s">
        <v>66</v>
      </c>
      <c r="BE22" s="19"/>
      <c r="BF22" s="19"/>
      <c r="BG22" s="19"/>
      <c r="BH22" s="19" t="s">
        <v>65</v>
      </c>
      <c r="BI22" s="19" t="s">
        <v>65</v>
      </c>
      <c r="BJ22" s="19" t="s">
        <v>66</v>
      </c>
      <c r="BK22" s="19" t="s">
        <v>66</v>
      </c>
      <c r="BL22" s="19" t="s">
        <v>65</v>
      </c>
      <c r="BM22" s="19" t="s">
        <v>65</v>
      </c>
      <c r="BN22" s="19" t="s">
        <v>65</v>
      </c>
      <c r="BO22" s="19" t="s">
        <v>65</v>
      </c>
      <c r="BP22" s="19" t="s">
        <v>65</v>
      </c>
      <c r="BQ22" s="19" t="s">
        <v>66</v>
      </c>
      <c r="BR22" s="19"/>
      <c r="BS22" s="19"/>
      <c r="BT22" s="19"/>
      <c r="BU22" s="19"/>
      <c r="BV22" s="19"/>
      <c r="BW22" s="19"/>
      <c r="BX22" s="19" t="s">
        <v>66</v>
      </c>
      <c r="BY22" s="19" t="s">
        <v>66</v>
      </c>
      <c r="BZ22" s="19"/>
      <c r="CA22" s="19" t="s">
        <v>66</v>
      </c>
      <c r="CB22" s="409">
        <f t="shared" si="2"/>
        <v>0</v>
      </c>
    </row>
    <row r="23" spans="1:80" ht="15" customHeight="1" outlineLevel="1">
      <c r="A23" s="42">
        <v>17</v>
      </c>
      <c r="B23" s="47" t="s">
        <v>111</v>
      </c>
      <c r="C23" s="59" t="s">
        <v>58</v>
      </c>
      <c r="D23" s="51" t="s">
        <v>112</v>
      </c>
      <c r="E23" s="51" t="s">
        <v>60</v>
      </c>
      <c r="F23" s="51">
        <v>122001215</v>
      </c>
      <c r="G23" s="51" t="s">
        <v>69</v>
      </c>
      <c r="H23" s="695" t="s">
        <v>88</v>
      </c>
      <c r="I23" s="44" t="s">
        <v>106</v>
      </c>
      <c r="J23" s="430">
        <v>74</v>
      </c>
      <c r="K23" s="45">
        <f t="shared" ref="K23:K28" si="8">+Q23</f>
        <v>0</v>
      </c>
      <c r="L23" s="46">
        <f t="shared" ref="L23:L28" si="9">+K23-J23</f>
        <v>-74</v>
      </c>
      <c r="M23" s="50">
        <v>22</v>
      </c>
      <c r="N23" s="50">
        <v>26</v>
      </c>
      <c r="O23" s="432">
        <v>5.0477489768076396</v>
      </c>
      <c r="P23" s="327"/>
      <c r="Q23" s="65"/>
      <c r="R23" s="66">
        <f>+S23+U23+W23+Y23+AC23+AE23+AG23+AI23+AK23+AM23+AO23+AQ23+AA23</f>
        <v>0</v>
      </c>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8"/>
      <c r="AT23" s="68"/>
      <c r="AU23" s="407"/>
      <c r="AV23" s="233"/>
      <c r="AW23" s="19"/>
      <c r="AX23" s="19"/>
      <c r="AY23" s="19"/>
      <c r="AZ23" s="19"/>
      <c r="BA23" s="19"/>
      <c r="BB23" s="19"/>
      <c r="BC23" s="19" t="s">
        <v>66</v>
      </c>
      <c r="BD23" s="19" t="s">
        <v>66</v>
      </c>
      <c r="BE23" s="19"/>
      <c r="BF23" s="19"/>
      <c r="BG23" s="19"/>
      <c r="BH23" s="19"/>
      <c r="BI23" s="19"/>
      <c r="BJ23" s="19" t="s">
        <v>66</v>
      </c>
      <c r="BK23" s="19" t="s">
        <v>66</v>
      </c>
      <c r="BL23" s="19"/>
      <c r="BM23" s="19"/>
      <c r="BN23" s="19"/>
      <c r="BO23" s="19"/>
      <c r="BP23" s="19"/>
      <c r="BQ23" s="19" t="s">
        <v>66</v>
      </c>
      <c r="BR23" s="19"/>
      <c r="BS23" s="19"/>
      <c r="BT23" s="19"/>
      <c r="BU23" s="19"/>
      <c r="BV23" s="19"/>
      <c r="BW23" s="19"/>
      <c r="BX23" s="19" t="s">
        <v>66</v>
      </c>
      <c r="BY23" s="19" t="s">
        <v>66</v>
      </c>
      <c r="BZ23" s="19"/>
      <c r="CA23" s="19" t="s">
        <v>66</v>
      </c>
      <c r="CB23" s="409">
        <f t="shared" si="2"/>
        <v>0</v>
      </c>
    </row>
    <row r="24" spans="1:80" ht="15" customHeight="1" outlineLevel="1">
      <c r="A24" s="42">
        <v>18</v>
      </c>
      <c r="B24" s="674" t="s">
        <v>113</v>
      </c>
      <c r="C24" s="59" t="s">
        <v>58</v>
      </c>
      <c r="D24" s="51" t="s">
        <v>114</v>
      </c>
      <c r="E24" s="51" t="s">
        <v>60</v>
      </c>
      <c r="F24" s="51">
        <v>122001314</v>
      </c>
      <c r="G24" s="51" t="s">
        <v>74</v>
      </c>
      <c r="H24" s="695" t="s">
        <v>88</v>
      </c>
      <c r="I24" s="44" t="s">
        <v>106</v>
      </c>
      <c r="J24" s="430">
        <v>124</v>
      </c>
      <c r="K24" s="45">
        <f t="shared" si="8"/>
        <v>136</v>
      </c>
      <c r="L24" s="46">
        <f t="shared" si="9"/>
        <v>12</v>
      </c>
      <c r="M24" s="50">
        <v>1</v>
      </c>
      <c r="N24" s="50">
        <v>11</v>
      </c>
      <c r="O24" s="432">
        <v>8.4583901773533423</v>
      </c>
      <c r="P24" s="327" t="s">
        <v>107</v>
      </c>
      <c r="Q24" s="65">
        <v>136</v>
      </c>
      <c r="R24" s="66">
        <f>+S24+U24+W24+Y24+AC24+AE24+AG24+AI24+AK24+AM24+AO24+AQ24+AA24</f>
        <v>48</v>
      </c>
      <c r="S24" s="67">
        <v>11</v>
      </c>
      <c r="T24" s="67">
        <v>0</v>
      </c>
      <c r="U24" s="67">
        <v>8</v>
      </c>
      <c r="V24" s="67">
        <v>0</v>
      </c>
      <c r="W24" s="67">
        <v>6</v>
      </c>
      <c r="X24" s="67">
        <v>0</v>
      </c>
      <c r="Y24" s="67">
        <v>3</v>
      </c>
      <c r="Z24" s="67">
        <v>0</v>
      </c>
      <c r="AA24" s="67">
        <v>1</v>
      </c>
      <c r="AB24" s="67">
        <v>0</v>
      </c>
      <c r="AC24" s="67">
        <v>5</v>
      </c>
      <c r="AD24" s="67">
        <v>0</v>
      </c>
      <c r="AE24" s="67">
        <v>1</v>
      </c>
      <c r="AF24" s="67">
        <v>0</v>
      </c>
      <c r="AG24" s="67">
        <v>2</v>
      </c>
      <c r="AH24" s="67">
        <v>0</v>
      </c>
      <c r="AI24" s="67">
        <v>6</v>
      </c>
      <c r="AJ24" s="67">
        <v>0</v>
      </c>
      <c r="AK24" s="67">
        <v>0</v>
      </c>
      <c r="AL24" s="67">
        <v>0</v>
      </c>
      <c r="AM24" s="67">
        <v>2</v>
      </c>
      <c r="AN24" s="67">
        <v>0</v>
      </c>
      <c r="AO24" s="67">
        <v>3</v>
      </c>
      <c r="AP24" s="67">
        <v>0</v>
      </c>
      <c r="AQ24" s="67">
        <v>0</v>
      </c>
      <c r="AR24" s="67">
        <v>0</v>
      </c>
      <c r="AS24" s="68">
        <v>13</v>
      </c>
      <c r="AT24" s="68">
        <v>35</v>
      </c>
      <c r="AU24" s="407"/>
      <c r="AV24" s="233"/>
      <c r="AW24" s="19" t="s">
        <v>65</v>
      </c>
      <c r="AX24" s="19" t="s">
        <v>65</v>
      </c>
      <c r="AY24" s="19" t="s">
        <v>65</v>
      </c>
      <c r="AZ24" s="19" t="s">
        <v>65</v>
      </c>
      <c r="BA24" s="19" t="s">
        <v>65</v>
      </c>
      <c r="BB24" s="19" t="s">
        <v>65</v>
      </c>
      <c r="BC24" s="19" t="s">
        <v>66</v>
      </c>
      <c r="BD24" s="19" t="s">
        <v>66</v>
      </c>
      <c r="BE24" s="19" t="s">
        <v>65</v>
      </c>
      <c r="BF24" s="19" t="s">
        <v>65</v>
      </c>
      <c r="BG24" s="19" t="s">
        <v>65</v>
      </c>
      <c r="BH24" s="19"/>
      <c r="BI24" s="19"/>
      <c r="BJ24" s="19" t="s">
        <v>66</v>
      </c>
      <c r="BK24" s="19" t="s">
        <v>66</v>
      </c>
      <c r="BL24" s="19"/>
      <c r="BM24" s="19"/>
      <c r="BN24" s="19"/>
      <c r="BO24" s="19"/>
      <c r="BP24" s="19"/>
      <c r="BQ24" s="19" t="s">
        <v>66</v>
      </c>
      <c r="BR24" s="19"/>
      <c r="BS24" s="19"/>
      <c r="BT24" s="19"/>
      <c r="BU24" s="19"/>
      <c r="BV24" s="19"/>
      <c r="BW24" s="19"/>
      <c r="BX24" s="19" t="s">
        <v>66</v>
      </c>
      <c r="BY24" s="19" t="s">
        <v>66</v>
      </c>
      <c r="BZ24" s="19"/>
      <c r="CA24" s="19" t="s">
        <v>66</v>
      </c>
      <c r="CB24" s="409">
        <f t="shared" si="2"/>
        <v>0</v>
      </c>
    </row>
    <row r="25" spans="1:80" ht="15" customHeight="1" outlineLevel="1">
      <c r="A25" s="42">
        <v>19</v>
      </c>
      <c r="B25" s="47" t="s">
        <v>115</v>
      </c>
      <c r="C25" s="59" t="s">
        <v>58</v>
      </c>
      <c r="D25" s="51" t="s">
        <v>116</v>
      </c>
      <c r="E25" s="51" t="s">
        <v>60</v>
      </c>
      <c r="F25" s="51">
        <v>122001218</v>
      </c>
      <c r="G25" s="51" t="s">
        <v>69</v>
      </c>
      <c r="H25" s="695" t="s">
        <v>88</v>
      </c>
      <c r="I25" s="44" t="s">
        <v>106</v>
      </c>
      <c r="J25" s="430">
        <v>118</v>
      </c>
      <c r="K25" s="45">
        <f t="shared" si="8"/>
        <v>0</v>
      </c>
      <c r="L25" s="46">
        <f t="shared" si="9"/>
        <v>-118</v>
      </c>
      <c r="M25" s="50">
        <v>12</v>
      </c>
      <c r="N25" s="50">
        <v>23</v>
      </c>
      <c r="O25" s="432">
        <v>8.0491132332878585</v>
      </c>
      <c r="P25" s="327" t="s">
        <v>117</v>
      </c>
      <c r="Q25" s="65"/>
      <c r="R25" s="66">
        <f t="shared" si="3"/>
        <v>0</v>
      </c>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8"/>
      <c r="AT25" s="68"/>
      <c r="AU25" s="407"/>
      <c r="AV25" s="233"/>
      <c r="AW25" s="19"/>
      <c r="AX25" s="19"/>
      <c r="AY25" s="19"/>
      <c r="AZ25" s="19"/>
      <c r="BA25" s="19"/>
      <c r="BB25" s="19"/>
      <c r="BC25" s="19" t="s">
        <v>66</v>
      </c>
      <c r="BD25" s="19" t="s">
        <v>66</v>
      </c>
      <c r="BE25" s="19"/>
      <c r="BF25" s="19"/>
      <c r="BG25" s="19"/>
      <c r="BH25" s="19" t="s">
        <v>65</v>
      </c>
      <c r="BI25" s="19" t="s">
        <v>65</v>
      </c>
      <c r="BJ25" s="19" t="s">
        <v>66</v>
      </c>
      <c r="BK25" s="19" t="s">
        <v>66</v>
      </c>
      <c r="BL25" s="19" t="s">
        <v>65</v>
      </c>
      <c r="BM25" s="19" t="s">
        <v>65</v>
      </c>
      <c r="BN25" s="19" t="s">
        <v>65</v>
      </c>
      <c r="BO25" s="19" t="s">
        <v>65</v>
      </c>
      <c r="BP25" s="19" t="s">
        <v>65</v>
      </c>
      <c r="BQ25" s="19" t="s">
        <v>66</v>
      </c>
      <c r="BR25" s="19" t="s">
        <v>65</v>
      </c>
      <c r="BS25" s="19" t="s">
        <v>65</v>
      </c>
      <c r="BT25" s="19" t="s">
        <v>65</v>
      </c>
      <c r="BU25" s="19" t="s">
        <v>65</v>
      </c>
      <c r="BV25" s="19"/>
      <c r="BW25" s="19"/>
      <c r="BX25" s="19" t="s">
        <v>66</v>
      </c>
      <c r="BY25" s="19" t="s">
        <v>66</v>
      </c>
      <c r="BZ25" s="19"/>
      <c r="CA25" s="19" t="s">
        <v>66</v>
      </c>
      <c r="CB25" s="409">
        <f t="shared" si="2"/>
        <v>0</v>
      </c>
    </row>
    <row r="26" spans="1:80" ht="15" customHeight="1" outlineLevel="1">
      <c r="A26" s="42">
        <v>20</v>
      </c>
      <c r="B26" s="674" t="s">
        <v>118</v>
      </c>
      <c r="C26" s="59" t="s">
        <v>58</v>
      </c>
      <c r="D26" s="51" t="s">
        <v>119</v>
      </c>
      <c r="E26" s="51" t="s">
        <v>60</v>
      </c>
      <c r="F26" s="51">
        <v>122001220</v>
      </c>
      <c r="G26" s="51" t="s">
        <v>69</v>
      </c>
      <c r="H26" s="695" t="s">
        <v>88</v>
      </c>
      <c r="I26" s="44" t="s">
        <v>106</v>
      </c>
      <c r="J26" s="430">
        <v>124</v>
      </c>
      <c r="K26" s="45">
        <f t="shared" si="8"/>
        <v>136</v>
      </c>
      <c r="L26" s="46">
        <f t="shared" si="9"/>
        <v>12</v>
      </c>
      <c r="M26" s="50">
        <v>1</v>
      </c>
      <c r="N26" s="50">
        <v>11</v>
      </c>
      <c r="O26" s="432">
        <v>8.4583901773533423</v>
      </c>
      <c r="P26" s="327" t="s">
        <v>107</v>
      </c>
      <c r="Q26" s="65">
        <v>136</v>
      </c>
      <c r="R26" s="66">
        <f>+S26+U26+W26+Y26+AC26+AE26+AG26+AI26+AK26+AM26+AO26+AQ26+AA26</f>
        <v>39</v>
      </c>
      <c r="S26" s="67">
        <v>8</v>
      </c>
      <c r="T26" s="67">
        <v>0</v>
      </c>
      <c r="U26" s="67">
        <v>8</v>
      </c>
      <c r="V26" s="67">
        <v>0</v>
      </c>
      <c r="W26" s="67">
        <v>5</v>
      </c>
      <c r="X26" s="67">
        <v>0</v>
      </c>
      <c r="Y26" s="67">
        <v>6</v>
      </c>
      <c r="Z26" s="67">
        <v>0</v>
      </c>
      <c r="AA26" s="67">
        <v>2</v>
      </c>
      <c r="AB26" s="67">
        <v>0</v>
      </c>
      <c r="AC26" s="67">
        <v>4</v>
      </c>
      <c r="AD26" s="67">
        <v>0</v>
      </c>
      <c r="AE26" s="67">
        <v>1</v>
      </c>
      <c r="AF26" s="67">
        <v>0</v>
      </c>
      <c r="AG26" s="67">
        <v>1</v>
      </c>
      <c r="AH26" s="67">
        <v>0</v>
      </c>
      <c r="AI26" s="67">
        <v>3</v>
      </c>
      <c r="AJ26" s="67">
        <v>0</v>
      </c>
      <c r="AK26" s="67">
        <v>0</v>
      </c>
      <c r="AL26" s="67">
        <v>0</v>
      </c>
      <c r="AM26" s="67">
        <v>1</v>
      </c>
      <c r="AN26" s="67">
        <v>0</v>
      </c>
      <c r="AO26" s="67">
        <v>0</v>
      </c>
      <c r="AP26" s="67">
        <v>0</v>
      </c>
      <c r="AQ26" s="67">
        <v>0</v>
      </c>
      <c r="AR26" s="67">
        <v>0</v>
      </c>
      <c r="AS26" s="68">
        <v>16</v>
      </c>
      <c r="AT26" s="68">
        <v>23</v>
      </c>
      <c r="AU26" s="407"/>
      <c r="AV26" s="233"/>
      <c r="AW26" s="19" t="s">
        <v>65</v>
      </c>
      <c r="AX26" s="19" t="s">
        <v>65</v>
      </c>
      <c r="AY26" s="19" t="s">
        <v>65</v>
      </c>
      <c r="AZ26" s="19" t="s">
        <v>65</v>
      </c>
      <c r="BA26" s="19" t="s">
        <v>65</v>
      </c>
      <c r="BB26" s="19" t="s">
        <v>65</v>
      </c>
      <c r="BC26" s="19" t="s">
        <v>66</v>
      </c>
      <c r="BD26" s="19" t="s">
        <v>66</v>
      </c>
      <c r="BE26" s="19" t="s">
        <v>65</v>
      </c>
      <c r="BF26" s="19" t="s">
        <v>65</v>
      </c>
      <c r="BG26" s="19" t="s">
        <v>65</v>
      </c>
      <c r="BH26" s="19"/>
      <c r="BI26" s="19"/>
      <c r="BJ26" s="19" t="s">
        <v>66</v>
      </c>
      <c r="BK26" s="19" t="s">
        <v>66</v>
      </c>
      <c r="BL26" s="19"/>
      <c r="BM26" s="19"/>
      <c r="BN26" s="19"/>
      <c r="BO26" s="19"/>
      <c r="BP26" s="19"/>
      <c r="BQ26" s="19" t="s">
        <v>66</v>
      </c>
      <c r="BR26" s="19"/>
      <c r="BS26" s="19"/>
      <c r="BT26" s="19"/>
      <c r="BU26" s="19"/>
      <c r="BV26" s="19"/>
      <c r="BW26" s="19"/>
      <c r="BX26" s="19" t="s">
        <v>66</v>
      </c>
      <c r="BY26" s="19" t="s">
        <v>66</v>
      </c>
      <c r="BZ26" s="19"/>
      <c r="CA26" s="19" t="s">
        <v>66</v>
      </c>
      <c r="CB26" s="409">
        <f t="shared" si="2"/>
        <v>0</v>
      </c>
    </row>
    <row r="27" spans="1:80" ht="15" customHeight="1" outlineLevel="1">
      <c r="A27" s="42">
        <v>21</v>
      </c>
      <c r="B27" s="674" t="s">
        <v>120</v>
      </c>
      <c r="C27" s="59" t="s">
        <v>58</v>
      </c>
      <c r="D27" s="51" t="s">
        <v>119</v>
      </c>
      <c r="E27" s="51" t="s">
        <v>60</v>
      </c>
      <c r="F27" s="51">
        <v>122001220</v>
      </c>
      <c r="G27" s="51" t="s">
        <v>69</v>
      </c>
      <c r="H27" s="695" t="s">
        <v>88</v>
      </c>
      <c r="I27" s="44" t="s">
        <v>106</v>
      </c>
      <c r="J27" s="430">
        <v>22</v>
      </c>
      <c r="K27" s="45">
        <f t="shared" si="8"/>
        <v>24</v>
      </c>
      <c r="L27" s="46">
        <f t="shared" si="9"/>
        <v>2</v>
      </c>
      <c r="M27" s="50">
        <v>12</v>
      </c>
      <c r="N27" s="50">
        <v>13</v>
      </c>
      <c r="O27" s="432">
        <v>1.500682128240109</v>
      </c>
      <c r="P27" s="327" t="s">
        <v>121</v>
      </c>
      <c r="Q27" s="65">
        <v>24</v>
      </c>
      <c r="R27" s="66">
        <f>+S27+U27+W27+Y27+AC27+AE27+AG27+AI27+AK27+AM27+AO27+AQ27+AA27</f>
        <v>5</v>
      </c>
      <c r="S27" s="67">
        <v>0</v>
      </c>
      <c r="T27" s="67">
        <v>0</v>
      </c>
      <c r="U27" s="67">
        <v>0</v>
      </c>
      <c r="V27" s="67">
        <v>0</v>
      </c>
      <c r="W27" s="67">
        <v>0</v>
      </c>
      <c r="X27" s="67">
        <v>0</v>
      </c>
      <c r="Y27" s="67">
        <v>0</v>
      </c>
      <c r="Z27" s="67">
        <v>0</v>
      </c>
      <c r="AA27" s="67">
        <v>1</v>
      </c>
      <c r="AB27" s="67">
        <v>0</v>
      </c>
      <c r="AC27" s="67">
        <v>0</v>
      </c>
      <c r="AD27" s="67">
        <v>0</v>
      </c>
      <c r="AE27" s="67">
        <v>1</v>
      </c>
      <c r="AF27" s="67">
        <v>0</v>
      </c>
      <c r="AG27" s="67">
        <v>0</v>
      </c>
      <c r="AH27" s="67">
        <v>0</v>
      </c>
      <c r="AI27" s="67">
        <v>3</v>
      </c>
      <c r="AJ27" s="67">
        <v>0</v>
      </c>
      <c r="AK27" s="67">
        <v>0</v>
      </c>
      <c r="AL27" s="67">
        <v>0</v>
      </c>
      <c r="AM27" s="67">
        <v>0</v>
      </c>
      <c r="AN27" s="67">
        <v>0</v>
      </c>
      <c r="AO27" s="67">
        <v>0</v>
      </c>
      <c r="AP27" s="67">
        <v>0</v>
      </c>
      <c r="AQ27" s="67">
        <v>0</v>
      </c>
      <c r="AR27" s="67">
        <v>0</v>
      </c>
      <c r="AS27" s="68">
        <v>4</v>
      </c>
      <c r="AT27" s="68">
        <v>1</v>
      </c>
      <c r="AU27" s="407"/>
      <c r="AV27" s="233"/>
      <c r="AW27" s="19"/>
      <c r="AX27" s="19"/>
      <c r="AY27" s="19"/>
      <c r="AZ27" s="19"/>
      <c r="BA27" s="19"/>
      <c r="BB27" s="19"/>
      <c r="BC27" s="19" t="s">
        <v>66</v>
      </c>
      <c r="BD27" s="19" t="s">
        <v>66</v>
      </c>
      <c r="BE27" s="19"/>
      <c r="BF27" s="19"/>
      <c r="BG27" s="19"/>
      <c r="BH27" s="19" t="s">
        <v>65</v>
      </c>
      <c r="BI27" s="19" t="s">
        <v>65</v>
      </c>
      <c r="BJ27" s="19" t="s">
        <v>66</v>
      </c>
      <c r="BK27" s="19" t="s">
        <v>66</v>
      </c>
      <c r="BL27" s="19"/>
      <c r="BM27" s="19"/>
      <c r="BN27" s="19"/>
      <c r="BO27" s="19"/>
      <c r="BP27" s="19"/>
      <c r="BQ27" s="19" t="s">
        <v>66</v>
      </c>
      <c r="BR27" s="19"/>
      <c r="BS27" s="19"/>
      <c r="BT27" s="19"/>
      <c r="BU27" s="19"/>
      <c r="BV27" s="19"/>
      <c r="BW27" s="19"/>
      <c r="BX27" s="19" t="s">
        <v>66</v>
      </c>
      <c r="BY27" s="19" t="s">
        <v>66</v>
      </c>
      <c r="BZ27" s="19"/>
      <c r="CA27" s="19" t="s">
        <v>66</v>
      </c>
      <c r="CB27" s="409">
        <f t="shared" si="2"/>
        <v>0</v>
      </c>
    </row>
    <row r="28" spans="1:80" ht="15" customHeight="1" outlineLevel="1">
      <c r="A28" s="42">
        <v>22</v>
      </c>
      <c r="B28" s="47" t="s">
        <v>122</v>
      </c>
      <c r="C28" s="59" t="s">
        <v>58</v>
      </c>
      <c r="D28" s="51" t="s">
        <v>123</v>
      </c>
      <c r="E28" s="51" t="s">
        <v>60</v>
      </c>
      <c r="F28" s="51">
        <v>122001211</v>
      </c>
      <c r="G28" s="51" t="s">
        <v>69</v>
      </c>
      <c r="H28" s="695" t="s">
        <v>88</v>
      </c>
      <c r="I28" s="44" t="s">
        <v>106</v>
      </c>
      <c r="J28" s="430">
        <v>96</v>
      </c>
      <c r="K28" s="45">
        <f t="shared" si="8"/>
        <v>88</v>
      </c>
      <c r="L28" s="46">
        <f t="shared" si="9"/>
        <v>-8</v>
      </c>
      <c r="M28" s="50">
        <v>16</v>
      </c>
      <c r="N28" s="50">
        <v>23</v>
      </c>
      <c r="O28" s="432">
        <v>6.5484311050477491</v>
      </c>
      <c r="P28" s="327" t="s">
        <v>124</v>
      </c>
      <c r="Q28" s="65">
        <v>88</v>
      </c>
      <c r="R28" s="66">
        <v>29</v>
      </c>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8"/>
      <c r="AT28" s="68"/>
      <c r="AU28" s="407"/>
      <c r="AV28" s="233"/>
      <c r="AW28" s="19"/>
      <c r="AX28" s="19"/>
      <c r="AY28" s="19"/>
      <c r="AZ28" s="19"/>
      <c r="BA28" s="19"/>
      <c r="BB28" s="19"/>
      <c r="BC28" s="19" t="s">
        <v>66</v>
      </c>
      <c r="BD28" s="19" t="s">
        <v>66</v>
      </c>
      <c r="BE28" s="19"/>
      <c r="BF28" s="19"/>
      <c r="BG28" s="19"/>
      <c r="BH28" s="19"/>
      <c r="BI28" s="19"/>
      <c r="BJ28" s="19" t="s">
        <v>66</v>
      </c>
      <c r="BK28" s="19" t="s">
        <v>66</v>
      </c>
      <c r="BL28" s="19" t="s">
        <v>65</v>
      </c>
      <c r="BM28" s="19" t="s">
        <v>65</v>
      </c>
      <c r="BN28" s="19" t="s">
        <v>65</v>
      </c>
      <c r="BO28" s="19" t="s">
        <v>65</v>
      </c>
      <c r="BP28" s="19" t="s">
        <v>65</v>
      </c>
      <c r="BQ28" s="19" t="s">
        <v>66</v>
      </c>
      <c r="BR28" s="19" t="s">
        <v>65</v>
      </c>
      <c r="BS28" s="19"/>
      <c r="BT28" s="19"/>
      <c r="BU28" s="19"/>
      <c r="BV28" s="19"/>
      <c r="BW28" s="19"/>
      <c r="BX28" s="19" t="s">
        <v>66</v>
      </c>
      <c r="BY28" s="19" t="s">
        <v>66</v>
      </c>
      <c r="BZ28" s="19"/>
      <c r="CA28" s="19" t="s">
        <v>66</v>
      </c>
      <c r="CB28" s="409">
        <f t="shared" si="2"/>
        <v>0</v>
      </c>
    </row>
    <row r="29" spans="1:80" ht="15" customHeight="1" outlineLevel="1">
      <c r="A29" s="42">
        <v>23</v>
      </c>
      <c r="B29" s="47" t="s">
        <v>125</v>
      </c>
      <c r="C29" s="59" t="s">
        <v>58</v>
      </c>
      <c r="D29" s="51" t="s">
        <v>126</v>
      </c>
      <c r="E29" s="51" t="s">
        <v>60</v>
      </c>
      <c r="F29" s="51">
        <v>122001213</v>
      </c>
      <c r="G29" s="51" t="s">
        <v>69</v>
      </c>
      <c r="H29" s="695" t="s">
        <v>88</v>
      </c>
      <c r="I29" s="44" t="s">
        <v>106</v>
      </c>
      <c r="J29" s="430">
        <v>124</v>
      </c>
      <c r="K29" s="45">
        <f t="shared" ref="K29:K32" si="10">+Q29</f>
        <v>136</v>
      </c>
      <c r="L29" s="46">
        <f t="shared" ref="L29:L32" si="11">+K29-J29</f>
        <v>12</v>
      </c>
      <c r="M29" s="50">
        <v>1</v>
      </c>
      <c r="N29" s="50">
        <v>11</v>
      </c>
      <c r="O29" s="432">
        <v>8.4583901773533423</v>
      </c>
      <c r="P29" s="327" t="s">
        <v>107</v>
      </c>
      <c r="Q29" s="65">
        <v>136</v>
      </c>
      <c r="R29" s="66">
        <f t="shared" si="3"/>
        <v>55</v>
      </c>
      <c r="S29" s="67">
        <v>6</v>
      </c>
      <c r="T29" s="67">
        <v>0</v>
      </c>
      <c r="U29" s="67">
        <v>4</v>
      </c>
      <c r="V29" s="67">
        <v>0</v>
      </c>
      <c r="W29" s="67">
        <v>4</v>
      </c>
      <c r="X29" s="67">
        <v>0</v>
      </c>
      <c r="Y29" s="67">
        <v>3</v>
      </c>
      <c r="Z29" s="67">
        <v>0</v>
      </c>
      <c r="AA29" s="67">
        <v>0</v>
      </c>
      <c r="AB29" s="67">
        <v>0</v>
      </c>
      <c r="AC29" s="67">
        <v>9</v>
      </c>
      <c r="AD29" s="67">
        <v>0</v>
      </c>
      <c r="AE29" s="67">
        <v>3</v>
      </c>
      <c r="AF29" s="67">
        <v>0</v>
      </c>
      <c r="AG29" s="67">
        <v>8</v>
      </c>
      <c r="AH29" s="67">
        <v>0</v>
      </c>
      <c r="AI29" s="67">
        <v>5</v>
      </c>
      <c r="AJ29" s="67">
        <v>0</v>
      </c>
      <c r="AK29" s="67">
        <v>3</v>
      </c>
      <c r="AL29" s="67">
        <v>0</v>
      </c>
      <c r="AM29" s="67">
        <v>8</v>
      </c>
      <c r="AN29" s="67">
        <v>0</v>
      </c>
      <c r="AO29" s="67">
        <v>2</v>
      </c>
      <c r="AP29" s="67">
        <v>0</v>
      </c>
      <c r="AQ29" s="67">
        <v>0</v>
      </c>
      <c r="AR29" s="67">
        <v>0</v>
      </c>
      <c r="AS29" s="68">
        <v>25</v>
      </c>
      <c r="AT29" s="68">
        <v>30</v>
      </c>
      <c r="AU29" s="407"/>
      <c r="AV29" s="233"/>
      <c r="AW29" s="19" t="s">
        <v>65</v>
      </c>
      <c r="AX29" s="19" t="s">
        <v>65</v>
      </c>
      <c r="AY29" s="19" t="s">
        <v>65</v>
      </c>
      <c r="AZ29" s="19" t="s">
        <v>65</v>
      </c>
      <c r="BA29" s="19" t="s">
        <v>65</v>
      </c>
      <c r="BB29" s="19" t="s">
        <v>65</v>
      </c>
      <c r="BC29" s="19" t="s">
        <v>66</v>
      </c>
      <c r="BD29" s="19" t="s">
        <v>66</v>
      </c>
      <c r="BE29" s="19" t="s">
        <v>65</v>
      </c>
      <c r="BF29" s="19" t="s">
        <v>65</v>
      </c>
      <c r="BG29" s="19" t="s">
        <v>65</v>
      </c>
      <c r="BH29" s="19"/>
      <c r="BI29" s="19"/>
      <c r="BJ29" s="19" t="s">
        <v>66</v>
      </c>
      <c r="BK29" s="19" t="s">
        <v>66</v>
      </c>
      <c r="BL29" s="19"/>
      <c r="BM29" s="19"/>
      <c r="BN29" s="19"/>
      <c r="BO29" s="19"/>
      <c r="BP29" s="19"/>
      <c r="BQ29" s="19" t="s">
        <v>66</v>
      </c>
      <c r="BR29" s="19"/>
      <c r="BS29" s="19"/>
      <c r="BT29" s="19"/>
      <c r="BU29" s="19"/>
      <c r="BV29" s="19"/>
      <c r="BW29" s="19"/>
      <c r="BX29" s="19" t="s">
        <v>66</v>
      </c>
      <c r="BY29" s="19" t="s">
        <v>66</v>
      </c>
      <c r="BZ29" s="19"/>
      <c r="CA29" s="19" t="s">
        <v>66</v>
      </c>
      <c r="CB29" s="409">
        <f t="shared" si="2"/>
        <v>0</v>
      </c>
    </row>
    <row r="30" spans="1:80" ht="15" customHeight="1" outlineLevel="1">
      <c r="A30" s="42">
        <v>24</v>
      </c>
      <c r="B30" s="47" t="s">
        <v>127</v>
      </c>
      <c r="C30" s="59" t="s">
        <v>58</v>
      </c>
      <c r="D30" s="51" t="s">
        <v>128</v>
      </c>
      <c r="E30" s="51" t="s">
        <v>60</v>
      </c>
      <c r="F30" s="51">
        <v>122001318</v>
      </c>
      <c r="G30" s="51" t="s">
        <v>74</v>
      </c>
      <c r="H30" s="695" t="s">
        <v>88</v>
      </c>
      <c r="I30" s="44" t="s">
        <v>106</v>
      </c>
      <c r="J30" s="430">
        <v>52</v>
      </c>
      <c r="K30" s="45">
        <f t="shared" si="10"/>
        <v>0</v>
      </c>
      <c r="L30" s="46">
        <f t="shared" si="11"/>
        <v>-52</v>
      </c>
      <c r="M30" s="50">
        <v>25</v>
      </c>
      <c r="N30" s="50">
        <v>30</v>
      </c>
      <c r="O30" s="432">
        <v>3.5470668485675305</v>
      </c>
      <c r="P30" s="327"/>
      <c r="Q30" s="65"/>
      <c r="R30" s="66">
        <f t="shared" si="3"/>
        <v>0</v>
      </c>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8"/>
      <c r="AT30" s="68"/>
      <c r="AU30" s="407"/>
      <c r="AV30" s="233"/>
      <c r="AW30" s="19"/>
      <c r="AX30" s="19"/>
      <c r="AY30" s="19"/>
      <c r="AZ30" s="19"/>
      <c r="BA30" s="19"/>
      <c r="BB30" s="19"/>
      <c r="BC30" s="19" t="s">
        <v>66</v>
      </c>
      <c r="BD30" s="19" t="s">
        <v>66</v>
      </c>
      <c r="BE30" s="19"/>
      <c r="BF30" s="19"/>
      <c r="BG30" s="19"/>
      <c r="BH30" s="19"/>
      <c r="BI30" s="19"/>
      <c r="BJ30" s="19" t="s">
        <v>66</v>
      </c>
      <c r="BK30" s="19" t="s">
        <v>66</v>
      </c>
      <c r="BL30" s="19"/>
      <c r="BM30" s="19"/>
      <c r="BN30" s="19"/>
      <c r="BO30" s="19"/>
      <c r="BP30" s="19"/>
      <c r="BQ30" s="19" t="s">
        <v>66</v>
      </c>
      <c r="BR30" s="19"/>
      <c r="BS30" s="19"/>
      <c r="BT30" s="19"/>
      <c r="BU30" s="19"/>
      <c r="BV30" s="19"/>
      <c r="BW30" s="19"/>
      <c r="BX30" s="19" t="s">
        <v>66</v>
      </c>
      <c r="BY30" s="19" t="s">
        <v>66</v>
      </c>
      <c r="BZ30" s="19"/>
      <c r="CA30" s="19" t="s">
        <v>66</v>
      </c>
      <c r="CB30" s="409">
        <f t="shared" si="2"/>
        <v>0</v>
      </c>
    </row>
    <row r="31" spans="1:80" ht="15" customHeight="1" outlineLevel="1">
      <c r="A31" s="42">
        <v>25</v>
      </c>
      <c r="B31" s="47" t="s">
        <v>129</v>
      </c>
      <c r="C31" s="59" t="s">
        <v>58</v>
      </c>
      <c r="D31" s="51" t="s">
        <v>130</v>
      </c>
      <c r="E31" s="51" t="s">
        <v>60</v>
      </c>
      <c r="F31" s="51">
        <v>122001227</v>
      </c>
      <c r="G31" s="51" t="s">
        <v>69</v>
      </c>
      <c r="H31" s="695" t="s">
        <v>88</v>
      </c>
      <c r="I31" s="44" t="s">
        <v>106</v>
      </c>
      <c r="J31" s="430">
        <v>132</v>
      </c>
      <c r="K31" s="45">
        <f t="shared" si="10"/>
        <v>144</v>
      </c>
      <c r="L31" s="46">
        <f t="shared" si="11"/>
        <v>12</v>
      </c>
      <c r="M31" s="50">
        <v>12</v>
      </c>
      <c r="N31" s="50">
        <v>24</v>
      </c>
      <c r="O31" s="432">
        <v>9.0040927694406552</v>
      </c>
      <c r="P31" s="327" t="s">
        <v>131</v>
      </c>
      <c r="Q31" s="65">
        <v>144</v>
      </c>
      <c r="R31" s="66">
        <v>58</v>
      </c>
      <c r="S31" s="67">
        <v>7</v>
      </c>
      <c r="T31" s="67">
        <v>0</v>
      </c>
      <c r="U31" s="67">
        <v>17</v>
      </c>
      <c r="V31" s="67">
        <v>0</v>
      </c>
      <c r="W31" s="67">
        <v>12</v>
      </c>
      <c r="X31" s="67">
        <v>0</v>
      </c>
      <c r="Y31" s="67">
        <v>0</v>
      </c>
      <c r="Z31" s="67">
        <v>0</v>
      </c>
      <c r="AA31" s="67">
        <v>1</v>
      </c>
      <c r="AB31" s="67">
        <v>0</v>
      </c>
      <c r="AC31" s="67">
        <v>5</v>
      </c>
      <c r="AD31" s="67">
        <v>0</v>
      </c>
      <c r="AE31" s="67">
        <v>4</v>
      </c>
      <c r="AF31" s="67">
        <v>0</v>
      </c>
      <c r="AG31" s="67">
        <v>2</v>
      </c>
      <c r="AH31" s="67">
        <v>0</v>
      </c>
      <c r="AI31" s="67">
        <v>3</v>
      </c>
      <c r="AJ31" s="67">
        <v>0</v>
      </c>
      <c r="AK31" s="67">
        <v>0</v>
      </c>
      <c r="AL31" s="67">
        <v>0</v>
      </c>
      <c r="AM31" s="67">
        <v>6</v>
      </c>
      <c r="AN31" s="67">
        <v>0</v>
      </c>
      <c r="AO31" s="67">
        <v>1</v>
      </c>
      <c r="AP31" s="67">
        <v>0</v>
      </c>
      <c r="AQ31" s="67">
        <v>0</v>
      </c>
      <c r="AR31" s="67">
        <v>0</v>
      </c>
      <c r="AS31" s="68">
        <v>27</v>
      </c>
      <c r="AT31" s="68">
        <v>31</v>
      </c>
      <c r="AU31" s="407"/>
      <c r="AV31" s="233"/>
      <c r="AW31" s="19"/>
      <c r="AX31" s="19"/>
      <c r="AY31" s="19"/>
      <c r="AZ31" s="19"/>
      <c r="BA31" s="19"/>
      <c r="BB31" s="19"/>
      <c r="BC31" s="19" t="s">
        <v>66</v>
      </c>
      <c r="BD31" s="19" t="s">
        <v>66</v>
      </c>
      <c r="BE31" s="19"/>
      <c r="BF31" s="19"/>
      <c r="BG31" s="19"/>
      <c r="BH31" s="19" t="s">
        <v>65</v>
      </c>
      <c r="BI31" s="19" t="s">
        <v>65</v>
      </c>
      <c r="BJ31" s="19" t="s">
        <v>66</v>
      </c>
      <c r="BK31" s="19" t="s">
        <v>66</v>
      </c>
      <c r="BL31" s="19" t="s">
        <v>65</v>
      </c>
      <c r="BM31" s="19" t="s">
        <v>65</v>
      </c>
      <c r="BN31" s="19" t="s">
        <v>65</v>
      </c>
      <c r="BO31" s="19" t="s">
        <v>65</v>
      </c>
      <c r="BP31" s="19" t="s">
        <v>65</v>
      </c>
      <c r="BQ31" s="19" t="s">
        <v>66</v>
      </c>
      <c r="BR31" s="19" t="s">
        <v>65</v>
      </c>
      <c r="BS31" s="19" t="s">
        <v>65</v>
      </c>
      <c r="BT31" s="19" t="s">
        <v>65</v>
      </c>
      <c r="BU31" s="19"/>
      <c r="BV31" s="19"/>
      <c r="BW31" s="19"/>
      <c r="BX31" s="19" t="s">
        <v>66</v>
      </c>
      <c r="BY31" s="19" t="s">
        <v>66</v>
      </c>
      <c r="BZ31" s="19"/>
      <c r="CA31" s="19" t="s">
        <v>66</v>
      </c>
      <c r="CB31" s="409">
        <f t="shared" si="2"/>
        <v>0</v>
      </c>
    </row>
    <row r="32" spans="1:80" ht="15" customHeight="1" outlineLevel="1">
      <c r="A32" s="42">
        <v>26</v>
      </c>
      <c r="B32" s="480" t="s">
        <v>132</v>
      </c>
      <c r="C32" s="59" t="s">
        <v>58</v>
      </c>
      <c r="D32" s="51" t="s">
        <v>68</v>
      </c>
      <c r="E32" s="481" t="s">
        <v>60</v>
      </c>
      <c r="F32" s="51">
        <v>122001210</v>
      </c>
      <c r="G32" s="481" t="s">
        <v>69</v>
      </c>
      <c r="H32" s="696" t="s">
        <v>88</v>
      </c>
      <c r="I32" s="44" t="s">
        <v>106</v>
      </c>
      <c r="J32" s="482">
        <v>66</v>
      </c>
      <c r="K32" s="45">
        <f t="shared" si="10"/>
        <v>0</v>
      </c>
      <c r="L32" s="46">
        <f t="shared" si="11"/>
        <v>-66</v>
      </c>
      <c r="M32" s="483">
        <v>24</v>
      </c>
      <c r="N32" s="483">
        <v>30</v>
      </c>
      <c r="O32" s="484">
        <v>4.5020463847203276</v>
      </c>
      <c r="P32" s="485"/>
      <c r="Q32" s="486"/>
      <c r="R32" s="66">
        <f t="shared" si="3"/>
        <v>0</v>
      </c>
      <c r="S32" s="487"/>
      <c r="T32" s="487"/>
      <c r="U32" s="487"/>
      <c r="V32" s="487"/>
      <c r="W32" s="487"/>
      <c r="X32" s="487"/>
      <c r="Y32" s="487"/>
      <c r="Z32" s="487"/>
      <c r="AA32" s="487"/>
      <c r="AB32" s="487"/>
      <c r="AC32" s="487"/>
      <c r="AD32" s="487"/>
      <c r="AE32" s="487"/>
      <c r="AF32" s="487"/>
      <c r="AG32" s="487"/>
      <c r="AH32" s="487"/>
      <c r="AI32" s="487"/>
      <c r="AJ32" s="487"/>
      <c r="AK32" s="487"/>
      <c r="AL32" s="487"/>
      <c r="AM32" s="487"/>
      <c r="AN32" s="487"/>
      <c r="AO32" s="487"/>
      <c r="AP32" s="487"/>
      <c r="AQ32" s="487"/>
      <c r="AR32" s="487"/>
      <c r="AS32" s="488"/>
      <c r="AT32" s="488"/>
      <c r="AU32" s="489"/>
      <c r="AV32" s="490"/>
      <c r="AW32" s="19"/>
      <c r="AX32" s="19"/>
      <c r="AY32" s="19"/>
      <c r="AZ32" s="19"/>
      <c r="BA32" s="19"/>
      <c r="BB32" s="19"/>
      <c r="BC32" s="19" t="s">
        <v>66</v>
      </c>
      <c r="BD32" s="19" t="s">
        <v>66</v>
      </c>
      <c r="BE32" s="19"/>
      <c r="BF32" s="19"/>
      <c r="BG32" s="19"/>
      <c r="BH32" s="19"/>
      <c r="BI32" s="19"/>
      <c r="BJ32" s="19" t="s">
        <v>66</v>
      </c>
      <c r="BK32" s="19" t="s">
        <v>66</v>
      </c>
      <c r="BL32" s="19"/>
      <c r="BM32" s="19"/>
      <c r="BN32" s="19"/>
      <c r="BO32" s="19"/>
      <c r="BP32" s="19"/>
      <c r="BQ32" s="19" t="s">
        <v>66</v>
      </c>
      <c r="BR32" s="19"/>
      <c r="BS32" s="19"/>
      <c r="BT32" s="19"/>
      <c r="BU32" s="19"/>
      <c r="BV32" s="19"/>
      <c r="BW32" s="19"/>
      <c r="BX32" s="19" t="s">
        <v>66</v>
      </c>
      <c r="BY32" s="19" t="s">
        <v>66</v>
      </c>
      <c r="BZ32" s="19"/>
      <c r="CA32" s="491"/>
      <c r="CB32" s="409"/>
    </row>
    <row r="33" spans="1:80" s="17" customFormat="1" ht="15.75" customHeight="1" outlineLevel="1">
      <c r="A33" s="42"/>
      <c r="B33" s="55" t="s">
        <v>133</v>
      </c>
      <c r="C33" s="671"/>
      <c r="D33" s="56"/>
      <c r="E33" s="56"/>
      <c r="F33" s="56"/>
      <c r="G33" s="56"/>
      <c r="H33" s="697"/>
      <c r="I33" s="56"/>
      <c r="J33" s="56"/>
      <c r="K33" s="56"/>
      <c r="L33" s="56"/>
      <c r="M33" s="56"/>
      <c r="N33" s="57"/>
      <c r="O33" s="57"/>
      <c r="P33" s="32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410">
        <f>IFERROR(SUMIF(AU34:AU54,"OK",CB34:CB54)/COUNTA(B34:B54),0)</f>
        <v>0</v>
      </c>
      <c r="AV33" s="410">
        <f>AVERAGE(AV34:AV44)</f>
        <v>0.04</v>
      </c>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409">
        <f t="shared" si="2"/>
        <v>0</v>
      </c>
    </row>
    <row r="34" spans="1:80" s="17" customFormat="1" ht="15.75" customHeight="1" outlineLevel="1">
      <c r="A34" s="42">
        <v>1</v>
      </c>
      <c r="B34" s="47" t="s">
        <v>134</v>
      </c>
      <c r="C34" s="59" t="s">
        <v>135</v>
      </c>
      <c r="D34" s="51" t="s">
        <v>136</v>
      </c>
      <c r="E34" s="51" t="s">
        <v>137</v>
      </c>
      <c r="F34" s="51">
        <v>122001306</v>
      </c>
      <c r="G34" s="51" t="s">
        <v>79</v>
      </c>
      <c r="H34" s="694" t="s">
        <v>62</v>
      </c>
      <c r="I34" s="52" t="s">
        <v>63</v>
      </c>
      <c r="J34" s="433">
        <v>615.72</v>
      </c>
      <c r="K34" s="147">
        <f>+Q34</f>
        <v>496</v>
      </c>
      <c r="L34" s="147">
        <f>+K34-J34</f>
        <v>-119.72000000000003</v>
      </c>
      <c r="M34" s="49">
        <v>1</v>
      </c>
      <c r="N34" s="49">
        <v>30</v>
      </c>
      <c r="O34" s="431">
        <v>21</v>
      </c>
      <c r="P34" s="327" t="s">
        <v>64</v>
      </c>
      <c r="Q34" s="65">
        <v>496</v>
      </c>
      <c r="R34" s="66">
        <v>57</v>
      </c>
      <c r="S34" s="67">
        <v>7</v>
      </c>
      <c r="T34" s="67">
        <v>0</v>
      </c>
      <c r="U34" s="67">
        <v>15</v>
      </c>
      <c r="V34" s="67">
        <v>0</v>
      </c>
      <c r="W34" s="67">
        <v>15</v>
      </c>
      <c r="X34" s="67">
        <v>0</v>
      </c>
      <c r="Y34" s="67">
        <v>8</v>
      </c>
      <c r="Z34" s="67">
        <v>0</v>
      </c>
      <c r="AA34" s="67">
        <v>1</v>
      </c>
      <c r="AB34" s="67">
        <v>0</v>
      </c>
      <c r="AC34" s="67">
        <v>7</v>
      </c>
      <c r="AD34" s="67">
        <v>0</v>
      </c>
      <c r="AE34" s="67">
        <v>0</v>
      </c>
      <c r="AF34" s="67">
        <v>0</v>
      </c>
      <c r="AG34" s="67">
        <v>0</v>
      </c>
      <c r="AH34" s="67">
        <v>0</v>
      </c>
      <c r="AI34" s="67">
        <v>2</v>
      </c>
      <c r="AJ34" s="67">
        <v>0</v>
      </c>
      <c r="AK34" s="67">
        <v>1</v>
      </c>
      <c r="AL34" s="67">
        <v>0</v>
      </c>
      <c r="AM34" s="67">
        <v>1</v>
      </c>
      <c r="AN34" s="67">
        <v>0</v>
      </c>
      <c r="AO34" s="67">
        <v>0</v>
      </c>
      <c r="AP34" s="67">
        <v>0</v>
      </c>
      <c r="AQ34" s="67">
        <v>0</v>
      </c>
      <c r="AR34" s="67">
        <v>0</v>
      </c>
      <c r="AS34" s="68">
        <v>43</v>
      </c>
      <c r="AT34" s="68">
        <v>14</v>
      </c>
      <c r="AU34" s="407"/>
      <c r="AV34" s="233"/>
      <c r="AW34" s="19" t="s">
        <v>65</v>
      </c>
      <c r="AX34" s="19" t="s">
        <v>65</v>
      </c>
      <c r="AY34" s="19" t="s">
        <v>65</v>
      </c>
      <c r="AZ34" s="19" t="s">
        <v>65</v>
      </c>
      <c r="BA34" s="19" t="s">
        <v>65</v>
      </c>
      <c r="BB34" s="19" t="s">
        <v>65</v>
      </c>
      <c r="BC34" s="19" t="s">
        <v>66</v>
      </c>
      <c r="BD34" s="19" t="s">
        <v>66</v>
      </c>
      <c r="BE34" s="19" t="s">
        <v>65</v>
      </c>
      <c r="BF34" s="19" t="s">
        <v>65</v>
      </c>
      <c r="BG34" s="19" t="s">
        <v>65</v>
      </c>
      <c r="BH34" s="19" t="s">
        <v>65</v>
      </c>
      <c r="BI34" s="19" t="s">
        <v>65</v>
      </c>
      <c r="BJ34" s="19" t="s">
        <v>66</v>
      </c>
      <c r="BK34" s="19" t="s">
        <v>66</v>
      </c>
      <c r="BL34" s="19" t="s">
        <v>65</v>
      </c>
      <c r="BM34" s="19" t="s">
        <v>65</v>
      </c>
      <c r="BN34" s="19" t="s">
        <v>65</v>
      </c>
      <c r="BO34" s="19" t="s">
        <v>65</v>
      </c>
      <c r="BP34" s="19" t="s">
        <v>65</v>
      </c>
      <c r="BQ34" s="19" t="s">
        <v>66</v>
      </c>
      <c r="BR34" s="19"/>
      <c r="BS34" s="19"/>
      <c r="BT34" s="19"/>
      <c r="BU34" s="19"/>
      <c r="BV34" s="19"/>
      <c r="BW34" s="19"/>
      <c r="BX34" s="19" t="s">
        <v>66</v>
      </c>
      <c r="BY34" s="19" t="s">
        <v>66</v>
      </c>
      <c r="BZ34" s="19"/>
      <c r="CA34" s="19" t="s">
        <v>66</v>
      </c>
      <c r="CB34" s="409">
        <f t="shared" si="2"/>
        <v>0</v>
      </c>
    </row>
    <row r="35" spans="1:80" ht="15" customHeight="1" outlineLevel="1">
      <c r="A35" s="42">
        <v>2</v>
      </c>
      <c r="B35" s="47" t="s">
        <v>138</v>
      </c>
      <c r="C35" s="59" t="s">
        <v>135</v>
      </c>
      <c r="D35" s="51" t="s">
        <v>139</v>
      </c>
      <c r="E35" s="51" t="s">
        <v>60</v>
      </c>
      <c r="F35" s="51">
        <v>122001316</v>
      </c>
      <c r="G35" s="51" t="s">
        <v>74</v>
      </c>
      <c r="H35" s="694" t="s">
        <v>62</v>
      </c>
      <c r="I35" s="52" t="s">
        <v>63</v>
      </c>
      <c r="J35" s="433">
        <v>461.79</v>
      </c>
      <c r="K35" s="147">
        <f t="shared" ref="K35:K36" si="12">+Q35</f>
        <v>391.8</v>
      </c>
      <c r="L35" s="147">
        <f t="shared" ref="L35:L36" si="13">+K35-J35</f>
        <v>-69.990000000000009</v>
      </c>
      <c r="M35" s="49">
        <v>1</v>
      </c>
      <c r="N35" s="49">
        <v>30</v>
      </c>
      <c r="O35" s="431">
        <v>21</v>
      </c>
      <c r="P35" s="327" t="s">
        <v>140</v>
      </c>
      <c r="Q35" s="65">
        <v>391.8</v>
      </c>
      <c r="R35" s="66">
        <v>84</v>
      </c>
      <c r="S35" s="67">
        <v>4</v>
      </c>
      <c r="T35" s="67">
        <v>0</v>
      </c>
      <c r="U35" s="67">
        <v>11</v>
      </c>
      <c r="V35" s="67">
        <v>0</v>
      </c>
      <c r="W35" s="67">
        <v>6</v>
      </c>
      <c r="X35" s="67">
        <v>0</v>
      </c>
      <c r="Y35" s="67">
        <v>25</v>
      </c>
      <c r="Z35" s="67">
        <v>0</v>
      </c>
      <c r="AA35" s="67">
        <v>27</v>
      </c>
      <c r="AB35" s="67">
        <v>0</v>
      </c>
      <c r="AC35" s="67">
        <v>1</v>
      </c>
      <c r="AD35" s="67">
        <v>0</v>
      </c>
      <c r="AE35" s="67">
        <v>3</v>
      </c>
      <c r="AF35" s="67">
        <v>0</v>
      </c>
      <c r="AG35" s="67">
        <v>0</v>
      </c>
      <c r="AH35" s="67">
        <v>0</v>
      </c>
      <c r="AI35" s="67">
        <v>3</v>
      </c>
      <c r="AJ35" s="67">
        <v>0</v>
      </c>
      <c r="AK35" s="67">
        <v>2</v>
      </c>
      <c r="AL35" s="67">
        <v>0</v>
      </c>
      <c r="AM35" s="67">
        <v>0</v>
      </c>
      <c r="AN35" s="67">
        <v>0</v>
      </c>
      <c r="AO35" s="67">
        <v>2</v>
      </c>
      <c r="AP35" s="67">
        <v>0</v>
      </c>
      <c r="AQ35" s="67">
        <v>0</v>
      </c>
      <c r="AR35" s="67">
        <v>0</v>
      </c>
      <c r="AS35" s="68">
        <v>23</v>
      </c>
      <c r="AT35" s="68">
        <v>61</v>
      </c>
      <c r="AU35" s="407"/>
      <c r="AV35" s="233">
        <v>0.04</v>
      </c>
      <c r="AW35" s="19" t="s">
        <v>65</v>
      </c>
      <c r="AX35" s="19" t="s">
        <v>65</v>
      </c>
      <c r="AY35" s="19" t="s">
        <v>65</v>
      </c>
      <c r="AZ35" s="19" t="s">
        <v>65</v>
      </c>
      <c r="BA35" s="19" t="s">
        <v>65</v>
      </c>
      <c r="BB35" s="19" t="s">
        <v>65</v>
      </c>
      <c r="BC35" s="19" t="s">
        <v>66</v>
      </c>
      <c r="BD35" s="19" t="s">
        <v>66</v>
      </c>
      <c r="BE35" s="19" t="s">
        <v>65</v>
      </c>
      <c r="BF35" s="19" t="s">
        <v>65</v>
      </c>
      <c r="BG35" s="19" t="s">
        <v>65</v>
      </c>
      <c r="BH35" s="19" t="s">
        <v>65</v>
      </c>
      <c r="BI35" s="19" t="s">
        <v>65</v>
      </c>
      <c r="BJ35" s="19" t="s">
        <v>66</v>
      </c>
      <c r="BK35" s="19" t="s">
        <v>66</v>
      </c>
      <c r="BL35" s="19" t="s">
        <v>65</v>
      </c>
      <c r="BM35" s="19" t="s">
        <v>65</v>
      </c>
      <c r="BN35" s="19" t="s">
        <v>65</v>
      </c>
      <c r="BO35" s="19" t="s">
        <v>65</v>
      </c>
      <c r="BP35" s="19" t="s">
        <v>65</v>
      </c>
      <c r="BQ35" s="19" t="s">
        <v>66</v>
      </c>
      <c r="BR35" s="19"/>
      <c r="BS35" s="19"/>
      <c r="BT35" s="19"/>
      <c r="BU35" s="19"/>
      <c r="BV35" s="19"/>
      <c r="BW35" s="19"/>
      <c r="BX35" s="19" t="s">
        <v>66</v>
      </c>
      <c r="BY35" s="19" t="s">
        <v>66</v>
      </c>
      <c r="BZ35" s="19"/>
      <c r="CA35" s="19" t="s">
        <v>66</v>
      </c>
      <c r="CB35" s="409">
        <f t="shared" si="2"/>
        <v>0</v>
      </c>
    </row>
    <row r="36" spans="1:80" ht="15" customHeight="1" outlineLevel="1">
      <c r="A36" s="42">
        <v>3</v>
      </c>
      <c r="B36" s="47" t="s">
        <v>141</v>
      </c>
      <c r="C36" s="59" t="s">
        <v>135</v>
      </c>
      <c r="D36" s="51" t="s">
        <v>128</v>
      </c>
      <c r="E36" s="51" t="s">
        <v>60</v>
      </c>
      <c r="F36" s="51">
        <v>122001318</v>
      </c>
      <c r="G36" s="51" t="s">
        <v>74</v>
      </c>
      <c r="H36" s="695" t="s">
        <v>88</v>
      </c>
      <c r="I36" s="44" t="s">
        <v>106</v>
      </c>
      <c r="J36" s="433">
        <v>44</v>
      </c>
      <c r="K36" s="147">
        <f t="shared" si="12"/>
        <v>40</v>
      </c>
      <c r="L36" s="147">
        <f t="shared" si="13"/>
        <v>-4</v>
      </c>
      <c r="M36" s="50">
        <v>18</v>
      </c>
      <c r="N36" s="50">
        <v>20</v>
      </c>
      <c r="O36" s="432">
        <v>3.0013642564802181</v>
      </c>
      <c r="P36" s="327" t="s">
        <v>142</v>
      </c>
      <c r="Q36" s="65">
        <v>40</v>
      </c>
      <c r="R36" s="66">
        <v>14</v>
      </c>
      <c r="S36" s="67">
        <v>1</v>
      </c>
      <c r="T36" s="67">
        <v>0</v>
      </c>
      <c r="U36" s="67">
        <v>1</v>
      </c>
      <c r="V36" s="67">
        <v>0</v>
      </c>
      <c r="W36" s="67">
        <v>1</v>
      </c>
      <c r="X36" s="67">
        <v>0</v>
      </c>
      <c r="Y36" s="67">
        <v>2</v>
      </c>
      <c r="Z36" s="67">
        <v>0</v>
      </c>
      <c r="AA36" s="67">
        <v>0</v>
      </c>
      <c r="AB36" s="67">
        <v>0</v>
      </c>
      <c r="AC36" s="67">
        <v>0</v>
      </c>
      <c r="AD36" s="67">
        <v>0</v>
      </c>
      <c r="AE36" s="67">
        <v>2</v>
      </c>
      <c r="AF36" s="67">
        <v>0</v>
      </c>
      <c r="AG36" s="67">
        <v>0</v>
      </c>
      <c r="AH36" s="67">
        <v>0</v>
      </c>
      <c r="AI36" s="67">
        <v>7</v>
      </c>
      <c r="AJ36" s="67">
        <v>0</v>
      </c>
      <c r="AK36" s="67">
        <v>0</v>
      </c>
      <c r="AL36" s="67">
        <v>0</v>
      </c>
      <c r="AM36" s="67">
        <v>0</v>
      </c>
      <c r="AN36" s="67">
        <v>0</v>
      </c>
      <c r="AO36" s="67">
        <v>0</v>
      </c>
      <c r="AP36" s="67">
        <v>0</v>
      </c>
      <c r="AQ36" s="67">
        <v>0</v>
      </c>
      <c r="AR36" s="67">
        <v>0</v>
      </c>
      <c r="AS36" s="68">
        <v>7</v>
      </c>
      <c r="AT36" s="68">
        <v>7</v>
      </c>
      <c r="AU36" s="407"/>
      <c r="AV36" s="233"/>
      <c r="AW36" s="19"/>
      <c r="AX36" s="19"/>
      <c r="AY36" s="19"/>
      <c r="AZ36" s="19"/>
      <c r="BA36" s="19"/>
      <c r="BB36" s="19"/>
      <c r="BC36" s="19" t="s">
        <v>66</v>
      </c>
      <c r="BD36" s="19" t="s">
        <v>66</v>
      </c>
      <c r="BE36" s="19"/>
      <c r="BF36" s="19"/>
      <c r="BG36" s="19"/>
      <c r="BH36" s="19"/>
      <c r="BI36" s="19"/>
      <c r="BJ36" s="19" t="s">
        <v>66</v>
      </c>
      <c r="BK36" s="19" t="s">
        <v>66</v>
      </c>
      <c r="BL36" s="19"/>
      <c r="BM36" s="19"/>
      <c r="BN36" s="19" t="s">
        <v>65</v>
      </c>
      <c r="BO36" s="19" t="s">
        <v>65</v>
      </c>
      <c r="BP36" s="19" t="s">
        <v>65</v>
      </c>
      <c r="BQ36" s="19" t="s">
        <v>66</v>
      </c>
      <c r="BR36" s="19"/>
      <c r="BS36" s="19"/>
      <c r="BT36" s="19"/>
      <c r="BU36" s="19"/>
      <c r="BV36" s="19"/>
      <c r="BW36" s="19"/>
      <c r="BX36" s="19" t="s">
        <v>66</v>
      </c>
      <c r="BY36" s="19" t="s">
        <v>66</v>
      </c>
      <c r="BZ36" s="19"/>
      <c r="CA36" s="19" t="s">
        <v>66</v>
      </c>
      <c r="CB36" s="409">
        <f t="shared" si="2"/>
        <v>0</v>
      </c>
    </row>
    <row r="37" spans="1:80" ht="15" customHeight="1" outlineLevel="1">
      <c r="A37" s="42">
        <v>4</v>
      </c>
      <c r="B37" s="674" t="s">
        <v>143</v>
      </c>
      <c r="C37" s="59" t="s">
        <v>135</v>
      </c>
      <c r="D37" s="51" t="s">
        <v>144</v>
      </c>
      <c r="E37" s="51" t="s">
        <v>60</v>
      </c>
      <c r="F37" s="51">
        <v>122001264</v>
      </c>
      <c r="G37" s="51" t="s">
        <v>87</v>
      </c>
      <c r="H37" s="695" t="s">
        <v>88</v>
      </c>
      <c r="I37" s="44" t="s">
        <v>89</v>
      </c>
      <c r="J37" s="430">
        <v>14</v>
      </c>
      <c r="K37" s="45">
        <f>+Q37</f>
        <v>16</v>
      </c>
      <c r="L37" s="46">
        <f>+K37-J37</f>
        <v>2</v>
      </c>
      <c r="M37" s="50">
        <v>4</v>
      </c>
      <c r="N37" s="50">
        <v>4</v>
      </c>
      <c r="O37" s="432">
        <v>0.95497953615279674</v>
      </c>
      <c r="P37" s="327">
        <v>4</v>
      </c>
      <c r="Q37" s="65">
        <v>16</v>
      </c>
      <c r="R37" s="66">
        <f>+S37+U37+W37+Y37+AC37+AE37+AG37+AI37+AK37+AM37+AO37+AQ37+AA37</f>
        <v>10</v>
      </c>
      <c r="S37" s="67">
        <v>2</v>
      </c>
      <c r="T37" s="67">
        <v>0</v>
      </c>
      <c r="U37" s="67">
        <v>2</v>
      </c>
      <c r="V37" s="67">
        <v>0</v>
      </c>
      <c r="W37" s="67">
        <v>2</v>
      </c>
      <c r="X37" s="67">
        <v>0</v>
      </c>
      <c r="Y37" s="67">
        <v>0</v>
      </c>
      <c r="Z37" s="67">
        <v>0</v>
      </c>
      <c r="AA37" s="67">
        <v>0</v>
      </c>
      <c r="AB37" s="67">
        <v>0</v>
      </c>
      <c r="AC37" s="67">
        <v>0</v>
      </c>
      <c r="AD37" s="67">
        <v>0</v>
      </c>
      <c r="AE37" s="67">
        <v>3</v>
      </c>
      <c r="AF37" s="67">
        <v>0</v>
      </c>
      <c r="AG37" s="67">
        <v>1</v>
      </c>
      <c r="AH37" s="67">
        <v>0</v>
      </c>
      <c r="AI37" s="67">
        <v>0</v>
      </c>
      <c r="AJ37" s="67">
        <v>0</v>
      </c>
      <c r="AK37" s="67">
        <v>0</v>
      </c>
      <c r="AL37" s="67">
        <v>0</v>
      </c>
      <c r="AM37" s="67">
        <v>0</v>
      </c>
      <c r="AN37" s="67">
        <v>0</v>
      </c>
      <c r="AO37" s="67">
        <v>0</v>
      </c>
      <c r="AP37" s="67">
        <v>0</v>
      </c>
      <c r="AQ37" s="67">
        <v>0</v>
      </c>
      <c r="AR37" s="67">
        <v>0</v>
      </c>
      <c r="AS37" s="68">
        <v>6</v>
      </c>
      <c r="AT37" s="68">
        <v>4</v>
      </c>
      <c r="AU37" s="407"/>
      <c r="AV37" s="233"/>
      <c r="AW37" s="19"/>
      <c r="AX37" s="19"/>
      <c r="AY37" s="19"/>
      <c r="AZ37" s="19" t="s">
        <v>65</v>
      </c>
      <c r="BA37" s="19"/>
      <c r="BB37" s="19"/>
      <c r="BC37" s="19" t="s">
        <v>66</v>
      </c>
      <c r="BD37" s="19" t="s">
        <v>66</v>
      </c>
      <c r="BE37" s="19"/>
      <c r="BF37" s="19"/>
      <c r="BG37" s="19"/>
      <c r="BH37" s="19"/>
      <c r="BI37" s="19"/>
      <c r="BJ37" s="19" t="s">
        <v>66</v>
      </c>
      <c r="BK37" s="19" t="s">
        <v>66</v>
      </c>
      <c r="BL37" s="19"/>
      <c r="BM37" s="19"/>
      <c r="BN37" s="19"/>
      <c r="BO37" s="19"/>
      <c r="BP37" s="19"/>
      <c r="BQ37" s="19" t="s">
        <v>66</v>
      </c>
      <c r="BR37" s="19"/>
      <c r="BS37" s="19"/>
      <c r="BT37" s="19"/>
      <c r="BU37" s="19"/>
      <c r="BV37" s="19"/>
      <c r="BW37" s="19"/>
      <c r="BX37" s="19" t="s">
        <v>66</v>
      </c>
      <c r="BY37" s="19" t="s">
        <v>66</v>
      </c>
      <c r="BZ37" s="19"/>
      <c r="CA37" s="19" t="s">
        <v>66</v>
      </c>
      <c r="CB37" s="409">
        <f t="shared" si="2"/>
        <v>0</v>
      </c>
    </row>
    <row r="38" spans="1:80" ht="15" customHeight="1" outlineLevel="1">
      <c r="A38" s="42">
        <v>5</v>
      </c>
      <c r="B38" s="674" t="s">
        <v>145</v>
      </c>
      <c r="C38" s="59" t="s">
        <v>135</v>
      </c>
      <c r="D38" s="51" t="s">
        <v>146</v>
      </c>
      <c r="E38" s="51" t="s">
        <v>60</v>
      </c>
      <c r="F38" s="51">
        <v>122001245</v>
      </c>
      <c r="G38" s="51" t="s">
        <v>87</v>
      </c>
      <c r="H38" s="695" t="s">
        <v>88</v>
      </c>
      <c r="I38" s="44" t="s">
        <v>89</v>
      </c>
      <c r="J38" s="430">
        <v>14</v>
      </c>
      <c r="K38" s="45">
        <f t="shared" ref="K38" si="14">+Q38</f>
        <v>16</v>
      </c>
      <c r="L38" s="46">
        <f t="shared" ref="L38" si="15">+K38-J38</f>
        <v>2</v>
      </c>
      <c r="M38" s="50">
        <v>16</v>
      </c>
      <c r="N38" s="50">
        <v>16</v>
      </c>
      <c r="O38" s="432">
        <v>0.95497953615279674</v>
      </c>
      <c r="P38" s="327" t="s">
        <v>147</v>
      </c>
      <c r="Q38" s="65">
        <v>16</v>
      </c>
      <c r="R38" s="66">
        <f>+S38+U38+W38+Y38+AC38+AE38+AG38+AI38+AK38+AM38+AO38+AQ38+AA38</f>
        <v>11</v>
      </c>
      <c r="S38" s="67">
        <v>1</v>
      </c>
      <c r="T38" s="67">
        <v>0</v>
      </c>
      <c r="U38" s="67">
        <v>2</v>
      </c>
      <c r="V38" s="67">
        <v>0</v>
      </c>
      <c r="W38" s="67">
        <v>1</v>
      </c>
      <c r="X38" s="67">
        <v>0</v>
      </c>
      <c r="Y38" s="67">
        <v>0</v>
      </c>
      <c r="Z38" s="67">
        <v>0</v>
      </c>
      <c r="AA38" s="67">
        <v>0</v>
      </c>
      <c r="AB38" s="67">
        <v>0</v>
      </c>
      <c r="AC38" s="67">
        <v>0</v>
      </c>
      <c r="AD38" s="67">
        <v>0</v>
      </c>
      <c r="AE38" s="67">
        <v>2</v>
      </c>
      <c r="AF38" s="67">
        <v>0</v>
      </c>
      <c r="AG38" s="67">
        <v>4</v>
      </c>
      <c r="AH38" s="67">
        <v>0</v>
      </c>
      <c r="AI38" s="67">
        <v>1</v>
      </c>
      <c r="AJ38" s="67">
        <v>0</v>
      </c>
      <c r="AK38" s="67">
        <v>0</v>
      </c>
      <c r="AL38" s="67">
        <v>0</v>
      </c>
      <c r="AM38" s="67">
        <v>0</v>
      </c>
      <c r="AN38" s="67">
        <v>0</v>
      </c>
      <c r="AO38" s="67">
        <v>0</v>
      </c>
      <c r="AP38" s="67">
        <v>0</v>
      </c>
      <c r="AQ38" s="67">
        <v>0</v>
      </c>
      <c r="AR38" s="67">
        <v>0</v>
      </c>
      <c r="AS38" s="68">
        <v>8</v>
      </c>
      <c r="AT38" s="68">
        <v>3</v>
      </c>
      <c r="AU38" s="407"/>
      <c r="AV38" s="233"/>
      <c r="AW38" s="19"/>
      <c r="AX38" s="19"/>
      <c r="AY38" s="19"/>
      <c r="AZ38" s="19"/>
      <c r="BA38" s="19"/>
      <c r="BB38" s="19"/>
      <c r="BC38" s="19" t="s">
        <v>66</v>
      </c>
      <c r="BD38" s="19" t="s">
        <v>66</v>
      </c>
      <c r="BE38" s="19"/>
      <c r="BF38" s="19"/>
      <c r="BG38" s="19"/>
      <c r="BH38" s="19"/>
      <c r="BI38" s="19"/>
      <c r="BJ38" s="19" t="s">
        <v>66</v>
      </c>
      <c r="BK38" s="19" t="s">
        <v>66</v>
      </c>
      <c r="BL38" s="19" t="s">
        <v>65</v>
      </c>
      <c r="BM38" s="19"/>
      <c r="BN38" s="19"/>
      <c r="BO38" s="19"/>
      <c r="BP38" s="19"/>
      <c r="BQ38" s="19" t="s">
        <v>66</v>
      </c>
      <c r="BR38" s="19"/>
      <c r="BS38" s="19"/>
      <c r="BT38" s="19"/>
      <c r="BU38" s="19"/>
      <c r="BV38" s="19"/>
      <c r="BW38" s="19"/>
      <c r="BX38" s="19" t="s">
        <v>66</v>
      </c>
      <c r="BY38" s="19" t="s">
        <v>66</v>
      </c>
      <c r="BZ38" s="19"/>
      <c r="CA38" s="19" t="s">
        <v>66</v>
      </c>
      <c r="CB38" s="409">
        <f t="shared" si="2"/>
        <v>0</v>
      </c>
    </row>
    <row r="39" spans="1:80" ht="15" customHeight="1" outlineLevel="1">
      <c r="A39" s="42">
        <v>6</v>
      </c>
      <c r="B39" s="674" t="s">
        <v>148</v>
      </c>
      <c r="C39" s="59" t="s">
        <v>135</v>
      </c>
      <c r="D39" s="51" t="s">
        <v>149</v>
      </c>
      <c r="E39" s="51" t="s">
        <v>60</v>
      </c>
      <c r="F39" s="51">
        <v>122001267</v>
      </c>
      <c r="G39" s="51" t="s">
        <v>87</v>
      </c>
      <c r="H39" s="695" t="s">
        <v>88</v>
      </c>
      <c r="I39" s="44" t="s">
        <v>89</v>
      </c>
      <c r="J39" s="430">
        <v>14</v>
      </c>
      <c r="K39" s="45">
        <f t="shared" ref="K39:K46" si="16">+Q39</f>
        <v>24</v>
      </c>
      <c r="L39" s="46">
        <f t="shared" ref="L39:L46" si="17">+K39-J39</f>
        <v>10</v>
      </c>
      <c r="M39" s="50">
        <v>5</v>
      </c>
      <c r="N39" s="50">
        <v>5</v>
      </c>
      <c r="O39" s="432">
        <v>0.95497953615279674</v>
      </c>
      <c r="P39" s="327">
        <v>5</v>
      </c>
      <c r="Q39" s="65">
        <v>24</v>
      </c>
      <c r="R39" s="66">
        <f t="shared" ref="R34:R71" si="18">+S39+U39+W39+Y39+AC39+AE39+AG39+AI39+AK39+AM39+AO39+AQ39+AA39</f>
        <v>10</v>
      </c>
      <c r="S39" s="67">
        <v>1</v>
      </c>
      <c r="T39" s="67">
        <v>0</v>
      </c>
      <c r="U39" s="67">
        <v>3</v>
      </c>
      <c r="V39" s="67">
        <v>0</v>
      </c>
      <c r="W39" s="67">
        <v>2</v>
      </c>
      <c r="X39" s="67">
        <v>0</v>
      </c>
      <c r="Y39" s="67">
        <v>0</v>
      </c>
      <c r="Z39" s="67">
        <v>0</v>
      </c>
      <c r="AA39" s="67">
        <v>0</v>
      </c>
      <c r="AB39" s="67">
        <v>0</v>
      </c>
      <c r="AC39" s="67">
        <v>0</v>
      </c>
      <c r="AD39" s="67">
        <v>0</v>
      </c>
      <c r="AE39" s="67">
        <v>2</v>
      </c>
      <c r="AF39" s="67">
        <v>0</v>
      </c>
      <c r="AG39" s="67">
        <v>0</v>
      </c>
      <c r="AH39" s="67">
        <v>0</v>
      </c>
      <c r="AI39" s="67">
        <v>2</v>
      </c>
      <c r="AJ39" s="67">
        <v>0</v>
      </c>
      <c r="AK39" s="67">
        <v>0</v>
      </c>
      <c r="AL39" s="67">
        <v>0</v>
      </c>
      <c r="AM39" s="67">
        <v>0</v>
      </c>
      <c r="AN39" s="67">
        <v>0</v>
      </c>
      <c r="AO39" s="67">
        <v>0</v>
      </c>
      <c r="AP39" s="67">
        <v>0</v>
      </c>
      <c r="AQ39" s="67">
        <v>0</v>
      </c>
      <c r="AR39" s="67">
        <v>0</v>
      </c>
      <c r="AS39" s="68">
        <v>7</v>
      </c>
      <c r="AT39" s="68">
        <v>3</v>
      </c>
      <c r="AU39" s="407"/>
      <c r="AV39" s="233"/>
      <c r="AW39" s="19"/>
      <c r="AX39" s="19"/>
      <c r="AY39" s="19"/>
      <c r="AZ39" s="19"/>
      <c r="BA39" s="19" t="s">
        <v>65</v>
      </c>
      <c r="BB39" s="19"/>
      <c r="BC39" s="19" t="s">
        <v>66</v>
      </c>
      <c r="BD39" s="19" t="s">
        <v>66</v>
      </c>
      <c r="BE39" s="19"/>
      <c r="BF39" s="19"/>
      <c r="BG39" s="19"/>
      <c r="BH39" s="19"/>
      <c r="BI39" s="19"/>
      <c r="BJ39" s="19" t="s">
        <v>66</v>
      </c>
      <c r="BK39" s="19" t="s">
        <v>66</v>
      </c>
      <c r="BL39" s="19"/>
      <c r="BM39" s="19"/>
      <c r="BN39" s="19"/>
      <c r="BO39" s="19"/>
      <c r="BP39" s="19"/>
      <c r="BQ39" s="19" t="s">
        <v>66</v>
      </c>
      <c r="BR39" s="19"/>
      <c r="BS39" s="19"/>
      <c r="BT39" s="19"/>
      <c r="BU39" s="19"/>
      <c r="BV39" s="19"/>
      <c r="BW39" s="19"/>
      <c r="BX39" s="19" t="s">
        <v>66</v>
      </c>
      <c r="BY39" s="19" t="s">
        <v>66</v>
      </c>
      <c r="BZ39" s="19"/>
      <c r="CA39" s="19" t="s">
        <v>66</v>
      </c>
      <c r="CB39" s="409"/>
    </row>
    <row r="40" spans="1:80" ht="15" customHeight="1" outlineLevel="1">
      <c r="A40" s="42">
        <v>7</v>
      </c>
      <c r="B40" s="674" t="s">
        <v>150</v>
      </c>
      <c r="C40" s="59" t="s">
        <v>135</v>
      </c>
      <c r="D40" s="51" t="s">
        <v>151</v>
      </c>
      <c r="E40" s="51" t="s">
        <v>60</v>
      </c>
      <c r="F40" s="51">
        <v>122001276</v>
      </c>
      <c r="G40" s="51" t="s">
        <v>87</v>
      </c>
      <c r="H40" s="695" t="s">
        <v>88</v>
      </c>
      <c r="I40" s="44" t="s">
        <v>89</v>
      </c>
      <c r="J40" s="430">
        <v>14</v>
      </c>
      <c r="K40" s="45">
        <f t="shared" si="16"/>
        <v>16</v>
      </c>
      <c r="L40" s="46">
        <f t="shared" si="17"/>
        <v>2</v>
      </c>
      <c r="M40" s="50">
        <v>17</v>
      </c>
      <c r="N40" s="50">
        <v>17</v>
      </c>
      <c r="O40" s="432">
        <v>0.95497953615279674</v>
      </c>
      <c r="P40" s="327">
        <v>19</v>
      </c>
      <c r="Q40" s="65">
        <v>16</v>
      </c>
      <c r="R40" s="66">
        <f t="shared" si="18"/>
        <v>7</v>
      </c>
      <c r="S40" s="67">
        <v>1</v>
      </c>
      <c r="T40" s="67">
        <v>0</v>
      </c>
      <c r="U40" s="67">
        <v>1</v>
      </c>
      <c r="V40" s="67">
        <v>0</v>
      </c>
      <c r="W40" s="67">
        <v>1</v>
      </c>
      <c r="X40" s="67">
        <v>0</v>
      </c>
      <c r="Y40" s="67">
        <v>0</v>
      </c>
      <c r="Z40" s="67">
        <v>0</v>
      </c>
      <c r="AA40" s="67">
        <v>0</v>
      </c>
      <c r="AB40" s="67">
        <v>0</v>
      </c>
      <c r="AC40" s="67">
        <v>0</v>
      </c>
      <c r="AD40" s="67">
        <v>0</v>
      </c>
      <c r="AE40" s="67">
        <v>2</v>
      </c>
      <c r="AF40" s="67">
        <v>0</v>
      </c>
      <c r="AG40" s="67">
        <v>2</v>
      </c>
      <c r="AH40" s="67">
        <v>0</v>
      </c>
      <c r="AI40" s="67">
        <v>0</v>
      </c>
      <c r="AJ40" s="67">
        <v>0</v>
      </c>
      <c r="AK40" s="67">
        <v>0</v>
      </c>
      <c r="AL40" s="67">
        <v>0</v>
      </c>
      <c r="AM40" s="67">
        <v>0</v>
      </c>
      <c r="AN40" s="67">
        <v>0</v>
      </c>
      <c r="AO40" s="67">
        <v>0</v>
      </c>
      <c r="AP40" s="67">
        <v>0</v>
      </c>
      <c r="AQ40" s="67">
        <v>0</v>
      </c>
      <c r="AR40" s="67">
        <v>0</v>
      </c>
      <c r="AS40" s="68">
        <v>5</v>
      </c>
      <c r="AT40" s="68">
        <v>2</v>
      </c>
      <c r="AU40" s="407"/>
      <c r="AV40" s="233"/>
      <c r="AW40" s="19"/>
      <c r="AX40" s="19"/>
      <c r="AY40" s="19"/>
      <c r="AZ40" s="19"/>
      <c r="BA40" s="19"/>
      <c r="BB40" s="19"/>
      <c r="BC40" s="19" t="s">
        <v>66</v>
      </c>
      <c r="BD40" s="19" t="s">
        <v>66</v>
      </c>
      <c r="BE40" s="19"/>
      <c r="BF40" s="19"/>
      <c r="BG40" s="19"/>
      <c r="BH40" s="19"/>
      <c r="BI40" s="19"/>
      <c r="BJ40" s="19" t="s">
        <v>66</v>
      </c>
      <c r="BK40" s="19" t="s">
        <v>66</v>
      </c>
      <c r="BL40" s="19"/>
      <c r="BM40" s="19"/>
      <c r="BN40" s="19"/>
      <c r="BO40" s="19" t="s">
        <v>65</v>
      </c>
      <c r="BP40" s="19"/>
      <c r="BQ40" s="19" t="s">
        <v>66</v>
      </c>
      <c r="BR40" s="19"/>
      <c r="BS40" s="19"/>
      <c r="BT40" s="19"/>
      <c r="BU40" s="19"/>
      <c r="BV40" s="19"/>
      <c r="BW40" s="19"/>
      <c r="BX40" s="19" t="s">
        <v>66</v>
      </c>
      <c r="BY40" s="19" t="s">
        <v>66</v>
      </c>
      <c r="BZ40" s="19"/>
      <c r="CA40" s="19" t="s">
        <v>66</v>
      </c>
      <c r="CB40" s="409"/>
    </row>
    <row r="41" spans="1:80" ht="15" customHeight="1" outlineLevel="1">
      <c r="A41" s="42">
        <v>8</v>
      </c>
      <c r="B41" s="674" t="s">
        <v>152</v>
      </c>
      <c r="C41" s="59" t="s">
        <v>135</v>
      </c>
      <c r="D41" s="51" t="s">
        <v>153</v>
      </c>
      <c r="E41" s="51" t="s">
        <v>60</v>
      </c>
      <c r="F41" s="51">
        <v>122001278</v>
      </c>
      <c r="G41" s="51" t="s">
        <v>87</v>
      </c>
      <c r="H41" s="695" t="s">
        <v>88</v>
      </c>
      <c r="I41" s="44" t="s">
        <v>89</v>
      </c>
      <c r="J41" s="430">
        <v>8</v>
      </c>
      <c r="K41" s="45">
        <f t="shared" si="16"/>
        <v>16</v>
      </c>
      <c r="L41" s="46">
        <f t="shared" si="17"/>
        <v>8</v>
      </c>
      <c r="M41" s="50">
        <v>6</v>
      </c>
      <c r="N41" s="50">
        <v>6</v>
      </c>
      <c r="O41" s="432">
        <v>0.54570259208731242</v>
      </c>
      <c r="P41" s="327">
        <v>6</v>
      </c>
      <c r="Q41" s="65">
        <v>16</v>
      </c>
      <c r="R41" s="66">
        <f t="shared" si="18"/>
        <v>5</v>
      </c>
      <c r="S41" s="67">
        <v>1</v>
      </c>
      <c r="T41" s="67">
        <v>0</v>
      </c>
      <c r="U41" s="67">
        <v>1</v>
      </c>
      <c r="V41" s="67">
        <v>0</v>
      </c>
      <c r="W41" s="67">
        <v>0</v>
      </c>
      <c r="X41" s="67">
        <v>0</v>
      </c>
      <c r="Y41" s="67">
        <v>0</v>
      </c>
      <c r="Z41" s="67">
        <v>0</v>
      </c>
      <c r="AA41" s="67">
        <v>0</v>
      </c>
      <c r="AB41" s="67">
        <v>0</v>
      </c>
      <c r="AC41" s="67">
        <v>0</v>
      </c>
      <c r="AD41" s="67">
        <v>0</v>
      </c>
      <c r="AE41" s="67">
        <v>3</v>
      </c>
      <c r="AF41" s="67">
        <v>0</v>
      </c>
      <c r="AG41" s="67">
        <v>0</v>
      </c>
      <c r="AH41" s="67">
        <v>0</v>
      </c>
      <c r="AI41" s="67">
        <v>0</v>
      </c>
      <c r="AJ41" s="67">
        <v>0</v>
      </c>
      <c r="AK41" s="67">
        <v>0</v>
      </c>
      <c r="AL41" s="67">
        <v>0</v>
      </c>
      <c r="AM41" s="67">
        <v>0</v>
      </c>
      <c r="AN41" s="67">
        <v>0</v>
      </c>
      <c r="AO41" s="67">
        <v>0</v>
      </c>
      <c r="AP41" s="67">
        <v>0</v>
      </c>
      <c r="AQ41" s="67">
        <v>0</v>
      </c>
      <c r="AR41" s="67">
        <v>0</v>
      </c>
      <c r="AS41" s="68">
        <v>3</v>
      </c>
      <c r="AT41" s="68">
        <v>2</v>
      </c>
      <c r="AU41" s="407"/>
      <c r="AV41" s="233"/>
      <c r="AW41" s="19"/>
      <c r="AX41" s="19"/>
      <c r="AY41" s="19"/>
      <c r="AZ41" s="19"/>
      <c r="BA41" s="19"/>
      <c r="BB41" s="19" t="s">
        <v>65</v>
      </c>
      <c r="BC41" s="19" t="s">
        <v>66</v>
      </c>
      <c r="BD41" s="19" t="s">
        <v>66</v>
      </c>
      <c r="BE41" s="19"/>
      <c r="BF41" s="19"/>
      <c r="BG41" s="19"/>
      <c r="BH41" s="19"/>
      <c r="BI41" s="19"/>
      <c r="BJ41" s="19" t="s">
        <v>66</v>
      </c>
      <c r="BK41" s="19" t="s">
        <v>66</v>
      </c>
      <c r="BL41" s="19"/>
      <c r="BM41" s="19"/>
      <c r="BN41" s="19"/>
      <c r="BO41" s="19"/>
      <c r="BP41" s="19"/>
      <c r="BQ41" s="19" t="s">
        <v>66</v>
      </c>
      <c r="BR41" s="19"/>
      <c r="BS41" s="19"/>
      <c r="BT41" s="19"/>
      <c r="BU41" s="19"/>
      <c r="BV41" s="19"/>
      <c r="BW41" s="19"/>
      <c r="BX41" s="19" t="s">
        <v>66</v>
      </c>
      <c r="BY41" s="19" t="s">
        <v>66</v>
      </c>
      <c r="BZ41" s="19"/>
      <c r="CA41" s="19" t="s">
        <v>66</v>
      </c>
      <c r="CB41" s="409"/>
    </row>
    <row r="42" spans="1:80" ht="15" customHeight="1" outlineLevel="1">
      <c r="A42" s="42">
        <v>9</v>
      </c>
      <c r="B42" s="674" t="s">
        <v>154</v>
      </c>
      <c r="C42" s="59" t="s">
        <v>135</v>
      </c>
      <c r="D42" s="51" t="s">
        <v>155</v>
      </c>
      <c r="E42" s="51" t="s">
        <v>60</v>
      </c>
      <c r="F42" s="51">
        <v>122001258</v>
      </c>
      <c r="G42" s="51" t="s">
        <v>87</v>
      </c>
      <c r="H42" s="695" t="s">
        <v>88</v>
      </c>
      <c r="I42" s="44" t="s">
        <v>89</v>
      </c>
      <c r="J42" s="430">
        <v>14</v>
      </c>
      <c r="K42" s="45">
        <f t="shared" si="16"/>
        <v>16</v>
      </c>
      <c r="L42" s="46">
        <f t="shared" si="17"/>
        <v>2</v>
      </c>
      <c r="M42" s="50">
        <v>18</v>
      </c>
      <c r="N42" s="50">
        <v>18</v>
      </c>
      <c r="O42" s="432">
        <v>0.95497953615279674</v>
      </c>
      <c r="P42" s="327">
        <v>9</v>
      </c>
      <c r="Q42" s="65">
        <v>16</v>
      </c>
      <c r="R42" s="66">
        <f t="shared" si="18"/>
        <v>6</v>
      </c>
      <c r="S42" s="67">
        <v>0</v>
      </c>
      <c r="T42" s="67">
        <v>0</v>
      </c>
      <c r="U42" s="67">
        <v>2</v>
      </c>
      <c r="V42" s="67">
        <v>0</v>
      </c>
      <c r="W42" s="67">
        <v>0</v>
      </c>
      <c r="X42" s="67">
        <v>0</v>
      </c>
      <c r="Y42" s="67">
        <v>0</v>
      </c>
      <c r="Z42" s="67">
        <v>0</v>
      </c>
      <c r="AA42" s="67">
        <v>0</v>
      </c>
      <c r="AB42" s="67">
        <v>0</v>
      </c>
      <c r="AC42" s="67">
        <v>0</v>
      </c>
      <c r="AD42" s="67">
        <v>0</v>
      </c>
      <c r="AE42" s="67">
        <v>2</v>
      </c>
      <c r="AF42" s="67">
        <v>0</v>
      </c>
      <c r="AG42" s="67">
        <v>1</v>
      </c>
      <c r="AH42" s="67">
        <v>0</v>
      </c>
      <c r="AI42" s="67">
        <v>1</v>
      </c>
      <c r="AJ42" s="67">
        <v>0</v>
      </c>
      <c r="AK42" s="67">
        <v>0</v>
      </c>
      <c r="AL42" s="67">
        <v>0</v>
      </c>
      <c r="AM42" s="67">
        <v>0</v>
      </c>
      <c r="AN42" s="67">
        <v>0</v>
      </c>
      <c r="AO42" s="67">
        <v>0</v>
      </c>
      <c r="AP42" s="67">
        <v>0</v>
      </c>
      <c r="AQ42" s="67">
        <v>0</v>
      </c>
      <c r="AR42" s="67">
        <v>0</v>
      </c>
      <c r="AS42" s="68">
        <v>4</v>
      </c>
      <c r="AT42" s="68">
        <v>2</v>
      </c>
      <c r="AU42" s="407"/>
      <c r="AV42" s="233"/>
      <c r="AW42" s="19"/>
      <c r="AX42" s="19"/>
      <c r="AY42" s="19"/>
      <c r="AZ42" s="19"/>
      <c r="BA42" s="19"/>
      <c r="BB42" s="19"/>
      <c r="BC42" s="19" t="s">
        <v>66</v>
      </c>
      <c r="BD42" s="19" t="s">
        <v>66</v>
      </c>
      <c r="BE42" s="19" t="s">
        <v>65</v>
      </c>
      <c r="BF42" s="19"/>
      <c r="BG42" s="19"/>
      <c r="BH42" s="19"/>
      <c r="BI42" s="19"/>
      <c r="BJ42" s="19" t="s">
        <v>66</v>
      </c>
      <c r="BK42" s="19" t="s">
        <v>66</v>
      </c>
      <c r="BL42" s="19"/>
      <c r="BM42" s="19"/>
      <c r="BN42" s="19"/>
      <c r="BO42" s="19"/>
      <c r="BP42" s="19"/>
      <c r="BQ42" s="19" t="s">
        <v>66</v>
      </c>
      <c r="BR42" s="19"/>
      <c r="BS42" s="19"/>
      <c r="BT42" s="19"/>
      <c r="BU42" s="19"/>
      <c r="BV42" s="19"/>
      <c r="BW42" s="19"/>
      <c r="BX42" s="19" t="s">
        <v>66</v>
      </c>
      <c r="BY42" s="19" t="s">
        <v>66</v>
      </c>
      <c r="BZ42" s="19"/>
      <c r="CA42" s="19" t="s">
        <v>66</v>
      </c>
      <c r="CB42" s="409"/>
    </row>
    <row r="43" spans="1:80" ht="15" customHeight="1" outlineLevel="1">
      <c r="A43" s="42">
        <v>10</v>
      </c>
      <c r="B43" s="674" t="s">
        <v>156</v>
      </c>
      <c r="C43" s="59" t="s">
        <v>135</v>
      </c>
      <c r="D43" s="51" t="s">
        <v>157</v>
      </c>
      <c r="E43" s="51" t="s">
        <v>60</v>
      </c>
      <c r="F43" s="51">
        <v>122001287</v>
      </c>
      <c r="G43" s="51" t="s">
        <v>87</v>
      </c>
      <c r="H43" s="695" t="s">
        <v>88</v>
      </c>
      <c r="I43" s="44" t="s">
        <v>89</v>
      </c>
      <c r="J43" s="430">
        <v>14</v>
      </c>
      <c r="K43" s="45">
        <f t="shared" si="16"/>
        <v>16</v>
      </c>
      <c r="L43" s="46">
        <f t="shared" si="17"/>
        <v>2</v>
      </c>
      <c r="M43" s="50">
        <v>9</v>
      </c>
      <c r="N43" s="50">
        <v>9</v>
      </c>
      <c r="O43" s="432">
        <v>0.95497953615279674</v>
      </c>
      <c r="P43" s="327">
        <v>9</v>
      </c>
      <c r="Q43" s="65">
        <v>16</v>
      </c>
      <c r="R43" s="66">
        <f t="shared" si="18"/>
        <v>10</v>
      </c>
      <c r="S43" s="67">
        <v>1</v>
      </c>
      <c r="T43" s="67">
        <v>0</v>
      </c>
      <c r="U43" s="67">
        <v>2</v>
      </c>
      <c r="V43" s="67">
        <v>0</v>
      </c>
      <c r="W43" s="67">
        <v>3</v>
      </c>
      <c r="X43" s="67">
        <v>0</v>
      </c>
      <c r="Y43" s="67">
        <v>0</v>
      </c>
      <c r="Z43" s="67">
        <v>0</v>
      </c>
      <c r="AA43" s="67">
        <v>0</v>
      </c>
      <c r="AB43" s="67">
        <v>0</v>
      </c>
      <c r="AC43" s="67">
        <v>0</v>
      </c>
      <c r="AD43" s="67">
        <v>0</v>
      </c>
      <c r="AE43" s="67">
        <v>3</v>
      </c>
      <c r="AF43" s="67">
        <v>0</v>
      </c>
      <c r="AG43" s="67">
        <v>0</v>
      </c>
      <c r="AH43" s="67">
        <v>0</v>
      </c>
      <c r="AI43" s="67">
        <v>1</v>
      </c>
      <c r="AJ43" s="67">
        <v>0</v>
      </c>
      <c r="AK43" s="67">
        <v>0</v>
      </c>
      <c r="AL43" s="67">
        <v>0</v>
      </c>
      <c r="AM43" s="67">
        <v>0</v>
      </c>
      <c r="AN43" s="67">
        <v>0</v>
      </c>
      <c r="AO43" s="67">
        <v>0</v>
      </c>
      <c r="AP43" s="67">
        <v>0</v>
      </c>
      <c r="AQ43" s="67">
        <v>0</v>
      </c>
      <c r="AR43" s="67">
        <v>0</v>
      </c>
      <c r="AS43" s="68">
        <v>7</v>
      </c>
      <c r="AT43" s="68">
        <v>3</v>
      </c>
      <c r="AU43" s="407"/>
      <c r="AV43" s="233"/>
      <c r="AW43" s="19"/>
      <c r="AX43" s="19"/>
      <c r="AY43" s="19"/>
      <c r="AZ43" s="19"/>
      <c r="BA43" s="19"/>
      <c r="BB43" s="19"/>
      <c r="BC43" s="19" t="s">
        <v>66</v>
      </c>
      <c r="BD43" s="19" t="s">
        <v>66</v>
      </c>
      <c r="BE43" s="19" t="s">
        <v>65</v>
      </c>
      <c r="BF43" s="19"/>
      <c r="BG43" s="19"/>
      <c r="BH43" s="19"/>
      <c r="BI43" s="19"/>
      <c r="BJ43" s="19" t="s">
        <v>66</v>
      </c>
      <c r="BK43" s="19" t="s">
        <v>66</v>
      </c>
      <c r="BL43" s="19"/>
      <c r="BM43" s="19"/>
      <c r="BN43" s="19"/>
      <c r="BO43" s="19"/>
      <c r="BP43" s="19"/>
      <c r="BQ43" s="19" t="s">
        <v>66</v>
      </c>
      <c r="BR43" s="19"/>
      <c r="BS43" s="19"/>
      <c r="BT43" s="19"/>
      <c r="BU43" s="19"/>
      <c r="BV43" s="19"/>
      <c r="BW43" s="19"/>
      <c r="BX43" s="19" t="s">
        <v>66</v>
      </c>
      <c r="BY43" s="19" t="s">
        <v>66</v>
      </c>
      <c r="BZ43" s="19"/>
      <c r="CA43" s="19" t="s">
        <v>66</v>
      </c>
      <c r="CB43" s="409"/>
    </row>
    <row r="44" spans="1:80" ht="15" customHeight="1" outlineLevel="1">
      <c r="A44" s="42">
        <v>11</v>
      </c>
      <c r="B44" s="674" t="s">
        <v>158</v>
      </c>
      <c r="C44" s="59" t="s">
        <v>135</v>
      </c>
      <c r="D44" s="51" t="s">
        <v>159</v>
      </c>
      <c r="E44" s="51" t="s">
        <v>60</v>
      </c>
      <c r="F44" s="51">
        <v>122001290</v>
      </c>
      <c r="G44" s="51" t="s">
        <v>87</v>
      </c>
      <c r="H44" s="695" t="s">
        <v>88</v>
      </c>
      <c r="I44" s="44" t="s">
        <v>89</v>
      </c>
      <c r="J44" s="430">
        <v>14</v>
      </c>
      <c r="K44" s="45">
        <f t="shared" si="16"/>
        <v>16</v>
      </c>
      <c r="L44" s="46">
        <f t="shared" si="17"/>
        <v>2</v>
      </c>
      <c r="M44" s="50">
        <v>19</v>
      </c>
      <c r="N44" s="50">
        <v>19</v>
      </c>
      <c r="O44" s="432">
        <v>0.95497953615279674</v>
      </c>
      <c r="P44" s="327">
        <v>19</v>
      </c>
      <c r="Q44" s="65">
        <v>16</v>
      </c>
      <c r="R44" s="66">
        <f t="shared" si="18"/>
        <v>10</v>
      </c>
      <c r="S44" s="67">
        <v>0</v>
      </c>
      <c r="T44" s="67">
        <v>0</v>
      </c>
      <c r="U44" s="67">
        <v>2</v>
      </c>
      <c r="V44" s="67">
        <v>0</v>
      </c>
      <c r="W44" s="67">
        <v>1</v>
      </c>
      <c r="X44" s="67">
        <v>0</v>
      </c>
      <c r="Y44" s="67">
        <v>0</v>
      </c>
      <c r="Z44" s="67">
        <v>0</v>
      </c>
      <c r="AA44" s="67">
        <v>0</v>
      </c>
      <c r="AB44" s="67">
        <v>0</v>
      </c>
      <c r="AC44" s="67">
        <v>0</v>
      </c>
      <c r="AD44" s="67">
        <v>0</v>
      </c>
      <c r="AE44" s="67">
        <v>4</v>
      </c>
      <c r="AF44" s="67">
        <v>0</v>
      </c>
      <c r="AG44" s="67">
        <v>3</v>
      </c>
      <c r="AH44" s="67">
        <v>0</v>
      </c>
      <c r="AI44" s="67">
        <v>0</v>
      </c>
      <c r="AJ44" s="67">
        <v>0</v>
      </c>
      <c r="AK44" s="67">
        <v>0</v>
      </c>
      <c r="AL44" s="67">
        <v>0</v>
      </c>
      <c r="AM44" s="67">
        <v>0</v>
      </c>
      <c r="AN44" s="67">
        <v>0</v>
      </c>
      <c r="AO44" s="67">
        <v>0</v>
      </c>
      <c r="AP44" s="67">
        <v>0</v>
      </c>
      <c r="AQ44" s="67">
        <v>0</v>
      </c>
      <c r="AR44" s="67">
        <v>0</v>
      </c>
      <c r="AS44" s="68">
        <v>5</v>
      </c>
      <c r="AT44" s="68">
        <v>5</v>
      </c>
      <c r="AU44" s="407"/>
      <c r="AV44" s="233"/>
      <c r="AW44" s="19"/>
      <c r="AX44" s="19"/>
      <c r="AY44" s="19"/>
      <c r="AZ44" s="19"/>
      <c r="BA44" s="19"/>
      <c r="BB44" s="19"/>
      <c r="BC44" s="19" t="s">
        <v>66</v>
      </c>
      <c r="BD44" s="19" t="s">
        <v>66</v>
      </c>
      <c r="BE44" s="19"/>
      <c r="BF44" s="19"/>
      <c r="BG44" s="19"/>
      <c r="BH44" s="19"/>
      <c r="BI44" s="19"/>
      <c r="BJ44" s="19" t="s">
        <v>66</v>
      </c>
      <c r="BK44" s="19" t="s">
        <v>66</v>
      </c>
      <c r="BL44" s="19"/>
      <c r="BM44" s="19"/>
      <c r="BN44" s="19"/>
      <c r="BO44" s="19" t="s">
        <v>65</v>
      </c>
      <c r="BP44" s="19"/>
      <c r="BQ44" s="19" t="s">
        <v>66</v>
      </c>
      <c r="BR44" s="19"/>
      <c r="BS44" s="19"/>
      <c r="BT44" s="19"/>
      <c r="BU44" s="19"/>
      <c r="BV44" s="19"/>
      <c r="BW44" s="19"/>
      <c r="BX44" s="19" t="s">
        <v>66</v>
      </c>
      <c r="BY44" s="19" t="s">
        <v>66</v>
      </c>
      <c r="BZ44" s="19"/>
      <c r="CA44" s="19" t="s">
        <v>66</v>
      </c>
      <c r="CB44" s="409"/>
    </row>
    <row r="45" spans="1:80" ht="15" customHeight="1" outlineLevel="1">
      <c r="A45" s="42">
        <v>12</v>
      </c>
      <c r="B45" s="674" t="s">
        <v>160</v>
      </c>
      <c r="C45" s="59" t="s">
        <v>135</v>
      </c>
      <c r="D45" s="51" t="s">
        <v>161</v>
      </c>
      <c r="E45" s="51" t="s">
        <v>60</v>
      </c>
      <c r="F45" s="51">
        <v>122001252</v>
      </c>
      <c r="G45" s="51" t="s">
        <v>87</v>
      </c>
      <c r="H45" s="695" t="s">
        <v>88</v>
      </c>
      <c r="I45" s="44" t="s">
        <v>89</v>
      </c>
      <c r="J45" s="430">
        <v>8</v>
      </c>
      <c r="K45" s="45">
        <f t="shared" si="16"/>
        <v>16</v>
      </c>
      <c r="L45" s="46">
        <f t="shared" si="17"/>
        <v>8</v>
      </c>
      <c r="M45" s="50">
        <v>20</v>
      </c>
      <c r="N45" s="50">
        <v>20</v>
      </c>
      <c r="O45" s="432">
        <v>0.54570259208731242</v>
      </c>
      <c r="P45" s="327">
        <v>20</v>
      </c>
      <c r="Q45" s="65">
        <v>16</v>
      </c>
      <c r="R45" s="66">
        <f t="shared" si="18"/>
        <v>8</v>
      </c>
      <c r="S45" s="67">
        <v>1</v>
      </c>
      <c r="T45" s="67">
        <v>0</v>
      </c>
      <c r="U45" s="67">
        <v>3</v>
      </c>
      <c r="V45" s="67">
        <v>0</v>
      </c>
      <c r="W45" s="67">
        <v>0</v>
      </c>
      <c r="X45" s="67">
        <v>0</v>
      </c>
      <c r="Y45" s="67">
        <v>1</v>
      </c>
      <c r="Z45" s="67">
        <v>0</v>
      </c>
      <c r="AA45" s="67">
        <v>0</v>
      </c>
      <c r="AB45" s="67">
        <v>0</v>
      </c>
      <c r="AC45" s="67">
        <v>0</v>
      </c>
      <c r="AD45" s="67">
        <v>0</v>
      </c>
      <c r="AE45" s="67">
        <v>2</v>
      </c>
      <c r="AF45" s="67">
        <v>0</v>
      </c>
      <c r="AG45" s="67">
        <v>1</v>
      </c>
      <c r="AH45" s="67">
        <v>0</v>
      </c>
      <c r="AI45" s="67">
        <v>0</v>
      </c>
      <c r="AJ45" s="67">
        <v>0</v>
      </c>
      <c r="AK45" s="67">
        <v>0</v>
      </c>
      <c r="AL45" s="67">
        <v>0</v>
      </c>
      <c r="AM45" s="67">
        <v>0</v>
      </c>
      <c r="AN45" s="67">
        <v>0</v>
      </c>
      <c r="AO45" s="67">
        <v>0</v>
      </c>
      <c r="AP45" s="67">
        <v>0</v>
      </c>
      <c r="AQ45" s="67">
        <v>0</v>
      </c>
      <c r="AR45" s="67">
        <v>0</v>
      </c>
      <c r="AS45" s="68">
        <v>4</v>
      </c>
      <c r="AT45" s="68">
        <v>4</v>
      </c>
      <c r="AU45" s="407"/>
      <c r="AV45" s="233"/>
      <c r="AW45" s="19"/>
      <c r="AX45" s="19"/>
      <c r="AY45" s="19"/>
      <c r="AZ45" s="19"/>
      <c r="BA45" s="19"/>
      <c r="BB45" s="19"/>
      <c r="BC45" s="19" t="s">
        <v>66</v>
      </c>
      <c r="BD45" s="19" t="s">
        <v>66</v>
      </c>
      <c r="BE45" s="19"/>
      <c r="BF45" s="19"/>
      <c r="BG45" s="19"/>
      <c r="BH45" s="19"/>
      <c r="BI45" s="19"/>
      <c r="BJ45" s="19" t="s">
        <v>66</v>
      </c>
      <c r="BK45" s="19" t="s">
        <v>66</v>
      </c>
      <c r="BL45" s="19"/>
      <c r="BM45" s="19"/>
      <c r="BN45" s="19"/>
      <c r="BO45" s="19"/>
      <c r="BP45" s="19" t="s">
        <v>65</v>
      </c>
      <c r="BQ45" s="19" t="s">
        <v>66</v>
      </c>
      <c r="BR45" s="19"/>
      <c r="BS45" s="19"/>
      <c r="BT45" s="19"/>
      <c r="BU45" s="19"/>
      <c r="BV45" s="19"/>
      <c r="BW45" s="19"/>
      <c r="BX45" s="19" t="s">
        <v>66</v>
      </c>
      <c r="BY45" s="19" t="s">
        <v>66</v>
      </c>
      <c r="BZ45" s="19"/>
      <c r="CA45" s="19" t="s">
        <v>66</v>
      </c>
      <c r="CB45" s="409"/>
    </row>
    <row r="46" spans="1:80" ht="15" customHeight="1" outlineLevel="1">
      <c r="A46" s="42">
        <v>13</v>
      </c>
      <c r="B46" s="674" t="s">
        <v>162</v>
      </c>
      <c r="C46" s="59" t="s">
        <v>135</v>
      </c>
      <c r="D46" s="51" t="s">
        <v>163</v>
      </c>
      <c r="E46" s="51" t="s">
        <v>60</v>
      </c>
      <c r="F46" s="51">
        <v>122001280</v>
      </c>
      <c r="G46" s="51" t="s">
        <v>87</v>
      </c>
      <c r="H46" s="695" t="s">
        <v>88</v>
      </c>
      <c r="I46" s="44" t="s">
        <v>89</v>
      </c>
      <c r="J46" s="430">
        <v>14</v>
      </c>
      <c r="K46" s="45">
        <f t="shared" si="16"/>
        <v>16</v>
      </c>
      <c r="L46" s="46">
        <f t="shared" si="17"/>
        <v>2</v>
      </c>
      <c r="M46" s="50">
        <v>22</v>
      </c>
      <c r="N46" s="50">
        <v>22</v>
      </c>
      <c r="O46" s="432">
        <v>0.95497953615279674</v>
      </c>
      <c r="P46" s="327">
        <v>22</v>
      </c>
      <c r="Q46" s="65">
        <v>16</v>
      </c>
      <c r="R46" s="66">
        <f t="shared" si="18"/>
        <v>8</v>
      </c>
      <c r="S46" s="67">
        <v>1</v>
      </c>
      <c r="T46" s="67">
        <v>0</v>
      </c>
      <c r="U46" s="67">
        <v>1</v>
      </c>
      <c r="V46" s="67">
        <v>0</v>
      </c>
      <c r="W46" s="67">
        <v>1</v>
      </c>
      <c r="X46" s="67">
        <v>0</v>
      </c>
      <c r="Y46" s="67">
        <v>0</v>
      </c>
      <c r="Z46" s="67">
        <v>0</v>
      </c>
      <c r="AA46" s="67">
        <v>1</v>
      </c>
      <c r="AB46" s="67">
        <v>0</v>
      </c>
      <c r="AC46" s="67">
        <v>0</v>
      </c>
      <c r="AD46" s="67">
        <v>0</v>
      </c>
      <c r="AE46" s="67">
        <v>2</v>
      </c>
      <c r="AF46" s="67">
        <v>0</v>
      </c>
      <c r="AG46" s="67">
        <v>0</v>
      </c>
      <c r="AH46" s="67">
        <v>0</v>
      </c>
      <c r="AI46" s="67">
        <v>0</v>
      </c>
      <c r="AJ46" s="67">
        <v>0</v>
      </c>
      <c r="AK46" s="67">
        <v>0</v>
      </c>
      <c r="AL46" s="67">
        <v>0</v>
      </c>
      <c r="AM46" s="67">
        <v>0</v>
      </c>
      <c r="AN46" s="67">
        <v>0</v>
      </c>
      <c r="AO46" s="67">
        <v>2</v>
      </c>
      <c r="AP46" s="67">
        <v>0</v>
      </c>
      <c r="AQ46" s="67">
        <v>0</v>
      </c>
      <c r="AR46" s="67">
        <v>0</v>
      </c>
      <c r="AS46" s="68">
        <v>5</v>
      </c>
      <c r="AT46" s="68">
        <v>3</v>
      </c>
      <c r="AU46" s="407"/>
      <c r="AV46" s="233"/>
      <c r="AW46" s="19"/>
      <c r="AX46" s="19"/>
      <c r="AY46" s="19"/>
      <c r="AZ46" s="19"/>
      <c r="BA46" s="19"/>
      <c r="BB46" s="19"/>
      <c r="BC46" s="19" t="s">
        <v>66</v>
      </c>
      <c r="BD46" s="19" t="s">
        <v>66</v>
      </c>
      <c r="BE46" s="19"/>
      <c r="BF46" s="19"/>
      <c r="BG46" s="19"/>
      <c r="BH46" s="19"/>
      <c r="BI46" s="19"/>
      <c r="BJ46" s="19" t="s">
        <v>66</v>
      </c>
      <c r="BK46" s="19" t="s">
        <v>66</v>
      </c>
      <c r="BL46" s="19"/>
      <c r="BM46" s="19"/>
      <c r="BN46" s="19"/>
      <c r="BO46" s="19"/>
      <c r="BP46" s="19"/>
      <c r="BQ46" s="19" t="s">
        <v>66</v>
      </c>
      <c r="BR46" s="19" t="s">
        <v>65</v>
      </c>
      <c r="BS46" s="19"/>
      <c r="BT46" s="19"/>
      <c r="BU46" s="19"/>
      <c r="BV46" s="19"/>
      <c r="BW46" s="19"/>
      <c r="BX46" s="19" t="s">
        <v>66</v>
      </c>
      <c r="BY46" s="19" t="s">
        <v>66</v>
      </c>
      <c r="BZ46" s="19"/>
      <c r="CA46" s="19" t="s">
        <v>66</v>
      </c>
      <c r="CB46" s="409"/>
    </row>
    <row r="47" spans="1:80" ht="15" customHeight="1" outlineLevel="1">
      <c r="A47" s="42">
        <v>14</v>
      </c>
      <c r="B47" s="674" t="s">
        <v>164</v>
      </c>
      <c r="C47" s="59" t="s">
        <v>135</v>
      </c>
      <c r="D47" s="51" t="s">
        <v>165</v>
      </c>
      <c r="E47" s="51" t="s">
        <v>60</v>
      </c>
      <c r="F47" s="51">
        <v>122001235</v>
      </c>
      <c r="G47" s="51" t="s">
        <v>87</v>
      </c>
      <c r="H47" s="695" t="s">
        <v>88</v>
      </c>
      <c r="I47" s="44" t="s">
        <v>89</v>
      </c>
      <c r="J47" s="430">
        <v>14</v>
      </c>
      <c r="K47" s="45">
        <f t="shared" ref="K47:K54" si="19">+Q47</f>
        <v>16</v>
      </c>
      <c r="L47" s="46">
        <f t="shared" ref="L47:L54" si="20">+K47-J47</f>
        <v>2</v>
      </c>
      <c r="M47" s="50">
        <v>23</v>
      </c>
      <c r="N47" s="50">
        <v>23</v>
      </c>
      <c r="O47" s="432">
        <v>0.95497953615279674</v>
      </c>
      <c r="P47" s="327" t="s">
        <v>166</v>
      </c>
      <c r="Q47" s="65">
        <v>16</v>
      </c>
      <c r="R47" s="66">
        <v>7</v>
      </c>
      <c r="S47" s="67">
        <v>0</v>
      </c>
      <c r="T47" s="67">
        <v>0</v>
      </c>
      <c r="U47" s="67">
        <v>1</v>
      </c>
      <c r="V47" s="67">
        <v>0</v>
      </c>
      <c r="W47" s="67">
        <v>1</v>
      </c>
      <c r="X47" s="67">
        <v>0</v>
      </c>
      <c r="Y47" s="67">
        <v>0</v>
      </c>
      <c r="Z47" s="67">
        <v>0</v>
      </c>
      <c r="AA47" s="67">
        <v>0</v>
      </c>
      <c r="AB47" s="67">
        <v>0</v>
      </c>
      <c r="AC47" s="67">
        <v>2</v>
      </c>
      <c r="AD47" s="67">
        <v>0</v>
      </c>
      <c r="AE47" s="67">
        <v>3</v>
      </c>
      <c r="AF47" s="67">
        <v>0</v>
      </c>
      <c r="AG47" s="67">
        <v>0</v>
      </c>
      <c r="AH47" s="67">
        <v>0</v>
      </c>
      <c r="AI47" s="67">
        <v>0</v>
      </c>
      <c r="AJ47" s="67">
        <v>0</v>
      </c>
      <c r="AK47" s="67">
        <v>0</v>
      </c>
      <c r="AL47" s="67">
        <v>0</v>
      </c>
      <c r="AM47" s="67">
        <v>0</v>
      </c>
      <c r="AN47" s="67">
        <v>0</v>
      </c>
      <c r="AO47" s="67">
        <v>0</v>
      </c>
      <c r="AP47" s="67">
        <v>0</v>
      </c>
      <c r="AQ47" s="67">
        <v>0</v>
      </c>
      <c r="AR47" s="67">
        <v>0</v>
      </c>
      <c r="AS47" s="68">
        <v>4</v>
      </c>
      <c r="AT47" s="68">
        <v>3</v>
      </c>
      <c r="AU47" s="407"/>
      <c r="AV47" s="233"/>
      <c r="AW47" s="19"/>
      <c r="AX47" s="19"/>
      <c r="AY47" s="19"/>
      <c r="AZ47" s="19"/>
      <c r="BA47" s="19"/>
      <c r="BB47" s="19"/>
      <c r="BC47" s="19" t="s">
        <v>66</v>
      </c>
      <c r="BD47" s="19" t="s">
        <v>66</v>
      </c>
      <c r="BE47" s="19"/>
      <c r="BF47" s="19"/>
      <c r="BG47" s="19"/>
      <c r="BH47" s="19"/>
      <c r="BI47" s="19"/>
      <c r="BJ47" s="19" t="s">
        <v>66</v>
      </c>
      <c r="BK47" s="19" t="s">
        <v>66</v>
      </c>
      <c r="BL47" s="19"/>
      <c r="BM47" s="19"/>
      <c r="BN47" s="19"/>
      <c r="BO47" s="19"/>
      <c r="BP47" s="19"/>
      <c r="BQ47" s="19" t="s">
        <v>66</v>
      </c>
      <c r="BR47" s="19"/>
      <c r="BS47" s="19" t="s">
        <v>65</v>
      </c>
      <c r="BT47" s="19"/>
      <c r="BU47" s="19"/>
      <c r="BV47" s="19"/>
      <c r="BW47" s="19"/>
      <c r="BX47" s="19" t="s">
        <v>66</v>
      </c>
      <c r="BY47" s="19" t="s">
        <v>66</v>
      </c>
      <c r="BZ47" s="19"/>
      <c r="CA47" s="19" t="s">
        <v>66</v>
      </c>
      <c r="CB47" s="409"/>
    </row>
    <row r="48" spans="1:80" ht="15" customHeight="1" outlineLevel="1">
      <c r="A48" s="42">
        <v>15</v>
      </c>
      <c r="B48" s="674" t="s">
        <v>167</v>
      </c>
      <c r="C48" s="59" t="s">
        <v>135</v>
      </c>
      <c r="D48" s="51" t="s">
        <v>168</v>
      </c>
      <c r="E48" s="51" t="s">
        <v>60</v>
      </c>
      <c r="F48" s="51">
        <v>122001249</v>
      </c>
      <c r="G48" s="51" t="s">
        <v>87</v>
      </c>
      <c r="H48" s="695" t="s">
        <v>88</v>
      </c>
      <c r="I48" s="44" t="s">
        <v>89</v>
      </c>
      <c r="J48" s="430">
        <v>14</v>
      </c>
      <c r="K48" s="45">
        <f t="shared" si="19"/>
        <v>16</v>
      </c>
      <c r="L48" s="46">
        <f t="shared" si="20"/>
        <v>2</v>
      </c>
      <c r="M48" s="50">
        <v>10</v>
      </c>
      <c r="N48" s="50">
        <v>10</v>
      </c>
      <c r="O48" s="432">
        <v>0.95497953615279674</v>
      </c>
      <c r="P48" s="327">
        <v>10</v>
      </c>
      <c r="Q48" s="65">
        <v>16</v>
      </c>
      <c r="R48" s="66">
        <f t="shared" si="18"/>
        <v>5</v>
      </c>
      <c r="S48" s="67">
        <v>1</v>
      </c>
      <c r="T48" s="67">
        <v>0</v>
      </c>
      <c r="U48" s="67">
        <v>1</v>
      </c>
      <c r="V48" s="67">
        <v>0</v>
      </c>
      <c r="W48" s="67">
        <v>0</v>
      </c>
      <c r="X48" s="67">
        <v>0</v>
      </c>
      <c r="Y48" s="67">
        <v>0</v>
      </c>
      <c r="Z48" s="67">
        <v>0</v>
      </c>
      <c r="AA48" s="67">
        <v>0</v>
      </c>
      <c r="AB48" s="67">
        <v>0</v>
      </c>
      <c r="AC48" s="67">
        <v>0</v>
      </c>
      <c r="AD48" s="67">
        <v>0</v>
      </c>
      <c r="AE48" s="67">
        <v>2</v>
      </c>
      <c r="AF48" s="67">
        <v>0</v>
      </c>
      <c r="AG48" s="67">
        <v>1</v>
      </c>
      <c r="AH48" s="67">
        <v>0</v>
      </c>
      <c r="AI48" s="67">
        <v>0</v>
      </c>
      <c r="AJ48" s="67">
        <v>0</v>
      </c>
      <c r="AK48" s="67">
        <v>0</v>
      </c>
      <c r="AL48" s="67">
        <v>0</v>
      </c>
      <c r="AM48" s="67">
        <v>0</v>
      </c>
      <c r="AN48" s="67">
        <v>0</v>
      </c>
      <c r="AO48" s="67">
        <v>0</v>
      </c>
      <c r="AP48" s="67">
        <v>0</v>
      </c>
      <c r="AQ48" s="67">
        <v>0</v>
      </c>
      <c r="AR48" s="67">
        <v>0</v>
      </c>
      <c r="AS48" s="68">
        <v>3</v>
      </c>
      <c r="AT48" s="68">
        <v>2</v>
      </c>
      <c r="AU48" s="407"/>
      <c r="AV48" s="233"/>
      <c r="AW48" s="19"/>
      <c r="AX48" s="19"/>
      <c r="AY48" s="19"/>
      <c r="AZ48" s="19"/>
      <c r="BA48" s="19"/>
      <c r="BB48" s="19"/>
      <c r="BC48" s="19" t="s">
        <v>66</v>
      </c>
      <c r="BD48" s="19" t="s">
        <v>66</v>
      </c>
      <c r="BE48" s="19"/>
      <c r="BF48" s="19" t="s">
        <v>65</v>
      </c>
      <c r="BG48" s="19"/>
      <c r="BH48" s="19"/>
      <c r="BI48" s="19"/>
      <c r="BJ48" s="19" t="s">
        <v>66</v>
      </c>
      <c r="BK48" s="19" t="s">
        <v>66</v>
      </c>
      <c r="BL48" s="19"/>
      <c r="BM48" s="19"/>
      <c r="BN48" s="19"/>
      <c r="BO48" s="19"/>
      <c r="BP48" s="19"/>
      <c r="BQ48" s="19" t="s">
        <v>66</v>
      </c>
      <c r="BR48" s="19"/>
      <c r="BS48" s="19"/>
      <c r="BT48" s="19"/>
      <c r="BU48" s="19"/>
      <c r="BV48" s="19"/>
      <c r="BW48" s="19"/>
      <c r="BX48" s="19" t="s">
        <v>66</v>
      </c>
      <c r="BY48" s="19" t="s">
        <v>66</v>
      </c>
      <c r="BZ48" s="19"/>
      <c r="CA48" s="19" t="s">
        <v>66</v>
      </c>
      <c r="CB48" s="409"/>
    </row>
    <row r="49" spans="1:80" ht="15" customHeight="1" outlineLevel="1">
      <c r="A49" s="42">
        <v>16</v>
      </c>
      <c r="B49" s="674" t="s">
        <v>169</v>
      </c>
      <c r="C49" s="59" t="s">
        <v>135</v>
      </c>
      <c r="D49" s="51" t="s">
        <v>170</v>
      </c>
      <c r="E49" s="51" t="s">
        <v>60</v>
      </c>
      <c r="F49" s="51">
        <v>122001236</v>
      </c>
      <c r="G49" s="51" t="s">
        <v>87</v>
      </c>
      <c r="H49" s="695" t="s">
        <v>88</v>
      </c>
      <c r="I49" s="44" t="s">
        <v>89</v>
      </c>
      <c r="J49" s="430">
        <v>14</v>
      </c>
      <c r="K49" s="45">
        <f t="shared" si="19"/>
        <v>16</v>
      </c>
      <c r="L49" s="46">
        <f t="shared" si="20"/>
        <v>2</v>
      </c>
      <c r="M49" s="50">
        <v>11</v>
      </c>
      <c r="N49" s="50">
        <v>11</v>
      </c>
      <c r="O49" s="432">
        <v>0.95497953615279674</v>
      </c>
      <c r="P49" s="327" t="s">
        <v>171</v>
      </c>
      <c r="Q49" s="65">
        <v>16</v>
      </c>
      <c r="R49" s="66">
        <f t="shared" si="18"/>
        <v>11</v>
      </c>
      <c r="S49" s="67">
        <v>0</v>
      </c>
      <c r="T49" s="67">
        <v>0</v>
      </c>
      <c r="U49" s="67">
        <v>3</v>
      </c>
      <c r="V49" s="67">
        <v>0</v>
      </c>
      <c r="W49" s="67">
        <v>1</v>
      </c>
      <c r="X49" s="67">
        <v>0</v>
      </c>
      <c r="Y49" s="67">
        <v>0</v>
      </c>
      <c r="Z49" s="67">
        <v>0</v>
      </c>
      <c r="AA49" s="67">
        <v>0</v>
      </c>
      <c r="AB49" s="67">
        <v>0</v>
      </c>
      <c r="AC49" s="67">
        <v>0</v>
      </c>
      <c r="AD49" s="67">
        <v>0</v>
      </c>
      <c r="AE49" s="67">
        <v>2</v>
      </c>
      <c r="AF49" s="67">
        <v>0</v>
      </c>
      <c r="AG49" s="67">
        <v>2</v>
      </c>
      <c r="AH49" s="67">
        <v>0</v>
      </c>
      <c r="AI49" s="67">
        <v>3</v>
      </c>
      <c r="AJ49" s="67">
        <v>0</v>
      </c>
      <c r="AK49" s="67">
        <v>0</v>
      </c>
      <c r="AL49" s="67">
        <v>0</v>
      </c>
      <c r="AM49" s="67">
        <v>0</v>
      </c>
      <c r="AN49" s="67">
        <v>0</v>
      </c>
      <c r="AO49" s="67">
        <v>0</v>
      </c>
      <c r="AP49" s="67">
        <v>0</v>
      </c>
      <c r="AQ49" s="67">
        <v>0</v>
      </c>
      <c r="AR49" s="67">
        <v>0</v>
      </c>
      <c r="AS49" s="68">
        <v>9</v>
      </c>
      <c r="AT49" s="68">
        <v>2</v>
      </c>
      <c r="AU49" s="407"/>
      <c r="AV49" s="233"/>
      <c r="AW49" s="19"/>
      <c r="AX49" s="19"/>
      <c r="AY49" s="19"/>
      <c r="AZ49" s="19"/>
      <c r="BA49" s="19"/>
      <c r="BB49" s="19"/>
      <c r="BC49" s="19" t="s">
        <v>66</v>
      </c>
      <c r="BD49" s="19" t="s">
        <v>66</v>
      </c>
      <c r="BE49" s="19"/>
      <c r="BF49" s="19"/>
      <c r="BG49" s="19" t="s">
        <v>65</v>
      </c>
      <c r="BH49" s="19"/>
      <c r="BI49" s="19"/>
      <c r="BJ49" s="19" t="s">
        <v>66</v>
      </c>
      <c r="BK49" s="19" t="s">
        <v>66</v>
      </c>
      <c r="BL49" s="19"/>
      <c r="BM49" s="19"/>
      <c r="BN49" s="19"/>
      <c r="BO49" s="19"/>
      <c r="BP49" s="19"/>
      <c r="BQ49" s="19" t="s">
        <v>66</v>
      </c>
      <c r="BR49" s="19"/>
      <c r="BS49" s="19"/>
      <c r="BT49" s="19"/>
      <c r="BU49" s="19"/>
      <c r="BV49" s="19"/>
      <c r="BW49" s="19"/>
      <c r="BX49" s="19" t="s">
        <v>66</v>
      </c>
      <c r="BY49" s="19" t="s">
        <v>66</v>
      </c>
      <c r="BZ49" s="19"/>
      <c r="CA49" s="19" t="s">
        <v>66</v>
      </c>
      <c r="CB49" s="409"/>
    </row>
    <row r="50" spans="1:80" ht="15" customHeight="1" outlineLevel="1">
      <c r="A50" s="42">
        <v>17</v>
      </c>
      <c r="B50" s="674" t="s">
        <v>172</v>
      </c>
      <c r="C50" s="59" t="s">
        <v>135</v>
      </c>
      <c r="D50" s="51" t="s">
        <v>173</v>
      </c>
      <c r="E50" s="51" t="s">
        <v>60</v>
      </c>
      <c r="F50" s="51">
        <v>122001286</v>
      </c>
      <c r="G50" s="51" t="s">
        <v>87</v>
      </c>
      <c r="H50" s="695" t="s">
        <v>88</v>
      </c>
      <c r="I50" s="44" t="s">
        <v>89</v>
      </c>
      <c r="J50" s="430">
        <v>14</v>
      </c>
      <c r="K50" s="45">
        <f t="shared" si="19"/>
        <v>16</v>
      </c>
      <c r="L50" s="46">
        <f t="shared" si="20"/>
        <v>2</v>
      </c>
      <c r="M50" s="50">
        <v>12</v>
      </c>
      <c r="N50" s="50">
        <v>12</v>
      </c>
      <c r="O50" s="432">
        <v>0.95497953615279674</v>
      </c>
      <c r="P50" s="327">
        <v>12</v>
      </c>
      <c r="Q50" s="65">
        <v>16</v>
      </c>
      <c r="R50" s="66">
        <f t="shared" si="18"/>
        <v>7</v>
      </c>
      <c r="S50" s="67">
        <v>1</v>
      </c>
      <c r="T50" s="67">
        <v>0</v>
      </c>
      <c r="U50" s="67">
        <v>1</v>
      </c>
      <c r="V50" s="67">
        <v>0</v>
      </c>
      <c r="W50" s="67">
        <v>0</v>
      </c>
      <c r="X50" s="67">
        <v>0</v>
      </c>
      <c r="Y50" s="67">
        <v>0</v>
      </c>
      <c r="Z50" s="67">
        <v>0</v>
      </c>
      <c r="AA50" s="67">
        <v>0</v>
      </c>
      <c r="AB50" s="67">
        <v>0</v>
      </c>
      <c r="AC50" s="67">
        <v>0</v>
      </c>
      <c r="AD50" s="67">
        <v>0</v>
      </c>
      <c r="AE50" s="67">
        <v>3</v>
      </c>
      <c r="AF50" s="67">
        <v>0</v>
      </c>
      <c r="AG50" s="67">
        <v>2</v>
      </c>
      <c r="AH50" s="67">
        <v>0</v>
      </c>
      <c r="AI50" s="67">
        <v>0</v>
      </c>
      <c r="AJ50" s="67">
        <v>0</v>
      </c>
      <c r="AK50" s="67">
        <v>0</v>
      </c>
      <c r="AL50" s="67">
        <v>0</v>
      </c>
      <c r="AM50" s="67">
        <v>0</v>
      </c>
      <c r="AN50" s="67">
        <v>0</v>
      </c>
      <c r="AO50" s="67">
        <v>0</v>
      </c>
      <c r="AP50" s="67">
        <v>0</v>
      </c>
      <c r="AQ50" s="67">
        <v>0</v>
      </c>
      <c r="AR50" s="67">
        <v>0</v>
      </c>
      <c r="AS50" s="68">
        <v>5</v>
      </c>
      <c r="AT50" s="68">
        <v>2</v>
      </c>
      <c r="AU50" s="407"/>
      <c r="AV50" s="233"/>
      <c r="AW50" s="19"/>
      <c r="AX50" s="19"/>
      <c r="AY50" s="19"/>
      <c r="AZ50" s="19"/>
      <c r="BA50" s="19"/>
      <c r="BB50" s="19"/>
      <c r="BC50" s="19" t="s">
        <v>66</v>
      </c>
      <c r="BD50" s="19" t="s">
        <v>66</v>
      </c>
      <c r="BE50" s="19"/>
      <c r="BF50" s="19"/>
      <c r="BG50" s="19"/>
      <c r="BH50" s="19" t="s">
        <v>65</v>
      </c>
      <c r="BI50" s="19"/>
      <c r="BJ50" s="19" t="s">
        <v>66</v>
      </c>
      <c r="BK50" s="19" t="s">
        <v>66</v>
      </c>
      <c r="BL50" s="19"/>
      <c r="BM50" s="19"/>
      <c r="BN50" s="19"/>
      <c r="BO50" s="19"/>
      <c r="BP50" s="19"/>
      <c r="BQ50" s="19" t="s">
        <v>66</v>
      </c>
      <c r="BR50" s="19"/>
      <c r="BS50" s="19"/>
      <c r="BT50" s="19"/>
      <c r="BU50" s="19"/>
      <c r="BV50" s="19"/>
      <c r="BW50" s="19"/>
      <c r="BX50" s="19" t="s">
        <v>66</v>
      </c>
      <c r="BY50" s="19" t="s">
        <v>66</v>
      </c>
      <c r="BZ50" s="19"/>
      <c r="CA50" s="19" t="s">
        <v>66</v>
      </c>
      <c r="CB50" s="409"/>
    </row>
    <row r="51" spans="1:80" ht="15" customHeight="1" outlineLevel="1">
      <c r="A51" s="42">
        <v>18</v>
      </c>
      <c r="B51" s="674" t="s">
        <v>174</v>
      </c>
      <c r="C51" s="59" t="s">
        <v>135</v>
      </c>
      <c r="D51" s="51" t="s">
        <v>175</v>
      </c>
      <c r="E51" s="51" t="s">
        <v>60</v>
      </c>
      <c r="F51" s="51">
        <v>122001315</v>
      </c>
      <c r="G51" s="51" t="s">
        <v>74</v>
      </c>
      <c r="H51" s="695" t="s">
        <v>88</v>
      </c>
      <c r="I51" s="44" t="s">
        <v>106</v>
      </c>
      <c r="J51" s="430">
        <v>110</v>
      </c>
      <c r="K51" s="45">
        <f t="shared" si="19"/>
        <v>180</v>
      </c>
      <c r="L51" s="46">
        <f t="shared" si="20"/>
        <v>70</v>
      </c>
      <c r="M51" s="50">
        <v>1</v>
      </c>
      <c r="N51" s="50">
        <v>10</v>
      </c>
      <c r="O51" s="432">
        <v>7.5034106412005457</v>
      </c>
      <c r="P51" s="327" t="s">
        <v>176</v>
      </c>
      <c r="Q51" s="65">
        <v>180</v>
      </c>
      <c r="R51" s="66">
        <v>49</v>
      </c>
      <c r="S51" s="67">
        <v>1</v>
      </c>
      <c r="T51" s="67">
        <v>0</v>
      </c>
      <c r="U51" s="67">
        <v>0</v>
      </c>
      <c r="V51" s="67">
        <v>0</v>
      </c>
      <c r="W51" s="67">
        <v>6</v>
      </c>
      <c r="X51" s="67">
        <v>0</v>
      </c>
      <c r="Y51" s="67">
        <v>4</v>
      </c>
      <c r="Z51" s="67">
        <v>0</v>
      </c>
      <c r="AA51" s="67">
        <v>1</v>
      </c>
      <c r="AB51" s="67">
        <v>0</v>
      </c>
      <c r="AC51" s="67">
        <v>4</v>
      </c>
      <c r="AD51" s="67">
        <v>0</v>
      </c>
      <c r="AE51" s="67">
        <v>2</v>
      </c>
      <c r="AF51" s="67">
        <v>0</v>
      </c>
      <c r="AG51" s="67">
        <v>4</v>
      </c>
      <c r="AH51" s="67">
        <v>0</v>
      </c>
      <c r="AI51" s="67">
        <v>18</v>
      </c>
      <c r="AJ51" s="67">
        <v>0</v>
      </c>
      <c r="AK51" s="67">
        <v>0</v>
      </c>
      <c r="AL51" s="67">
        <v>0</v>
      </c>
      <c r="AM51" s="67">
        <v>7</v>
      </c>
      <c r="AN51" s="67">
        <v>0</v>
      </c>
      <c r="AO51" s="67">
        <v>1</v>
      </c>
      <c r="AP51" s="67">
        <v>0</v>
      </c>
      <c r="AQ51" s="67">
        <v>1</v>
      </c>
      <c r="AR51" s="67">
        <v>0</v>
      </c>
      <c r="AS51" s="68">
        <v>31</v>
      </c>
      <c r="AT51" s="68">
        <v>18</v>
      </c>
      <c r="AU51" s="407"/>
      <c r="AV51" s="233">
        <v>0.04</v>
      </c>
      <c r="AW51" s="19" t="s">
        <v>65</v>
      </c>
      <c r="AX51" s="19" t="s">
        <v>65</v>
      </c>
      <c r="AY51" s="19" t="s">
        <v>65</v>
      </c>
      <c r="AZ51" s="19" t="s">
        <v>65</v>
      </c>
      <c r="BA51" s="19" t="s">
        <v>65</v>
      </c>
      <c r="BB51" s="19" t="s">
        <v>65</v>
      </c>
      <c r="BC51" s="19" t="s">
        <v>66</v>
      </c>
      <c r="BD51" s="19" t="s">
        <v>66</v>
      </c>
      <c r="BE51" s="19" t="s">
        <v>71</v>
      </c>
      <c r="BF51" s="19" t="s">
        <v>71</v>
      </c>
      <c r="BG51" s="19"/>
      <c r="BH51" s="19"/>
      <c r="BI51" s="19"/>
      <c r="BJ51" s="19" t="s">
        <v>66</v>
      </c>
      <c r="BK51" s="19" t="s">
        <v>66</v>
      </c>
      <c r="BL51" s="19"/>
      <c r="BM51" s="19"/>
      <c r="BN51" s="19"/>
      <c r="BO51" s="19"/>
      <c r="BP51" s="19"/>
      <c r="BQ51" s="19" t="s">
        <v>66</v>
      </c>
      <c r="BR51" s="19"/>
      <c r="BS51" s="19"/>
      <c r="BT51" s="19"/>
      <c r="BU51" s="19"/>
      <c r="BV51" s="19"/>
      <c r="BW51" s="19"/>
      <c r="BX51" s="19" t="s">
        <v>66</v>
      </c>
      <c r="BY51" s="19" t="s">
        <v>66</v>
      </c>
      <c r="BZ51" s="19"/>
      <c r="CA51" s="19" t="s">
        <v>66</v>
      </c>
      <c r="CB51" s="409"/>
    </row>
    <row r="52" spans="1:80" ht="15" customHeight="1" outlineLevel="1">
      <c r="A52" s="42">
        <v>19</v>
      </c>
      <c r="B52" s="674" t="s">
        <v>177</v>
      </c>
      <c r="C52" s="59" t="s">
        <v>135</v>
      </c>
      <c r="D52" s="51" t="s">
        <v>178</v>
      </c>
      <c r="E52" s="51" t="s">
        <v>60</v>
      </c>
      <c r="F52" s="51">
        <v>122001324</v>
      </c>
      <c r="G52" s="51" t="s">
        <v>74</v>
      </c>
      <c r="H52" s="695" t="s">
        <v>88</v>
      </c>
      <c r="I52" s="44" t="s">
        <v>106</v>
      </c>
      <c r="J52" s="430">
        <v>66</v>
      </c>
      <c r="K52" s="45">
        <f t="shared" si="19"/>
        <v>88</v>
      </c>
      <c r="L52" s="46">
        <f t="shared" si="20"/>
        <v>22</v>
      </c>
      <c r="M52" s="50">
        <v>11</v>
      </c>
      <c r="N52" s="50">
        <v>17</v>
      </c>
      <c r="O52" s="432">
        <v>4.5020463847203276</v>
      </c>
      <c r="P52" s="327" t="s">
        <v>179</v>
      </c>
      <c r="Q52" s="65">
        <v>88</v>
      </c>
      <c r="R52" s="66">
        <v>16</v>
      </c>
      <c r="S52" s="67">
        <v>1</v>
      </c>
      <c r="T52" s="67">
        <v>0</v>
      </c>
      <c r="U52" s="67">
        <v>2</v>
      </c>
      <c r="V52" s="67">
        <v>0</v>
      </c>
      <c r="W52" s="67">
        <v>2</v>
      </c>
      <c r="X52" s="67">
        <v>0</v>
      </c>
      <c r="Y52" s="67">
        <v>0</v>
      </c>
      <c r="Z52" s="67">
        <v>0</v>
      </c>
      <c r="AA52" s="67">
        <v>0</v>
      </c>
      <c r="AB52" s="67">
        <v>0</v>
      </c>
      <c r="AC52" s="67">
        <v>2</v>
      </c>
      <c r="AD52" s="67">
        <v>0</v>
      </c>
      <c r="AE52" s="67">
        <v>2</v>
      </c>
      <c r="AF52" s="67">
        <v>0</v>
      </c>
      <c r="AG52" s="67">
        <v>3</v>
      </c>
      <c r="AH52" s="67">
        <v>0</v>
      </c>
      <c r="AI52" s="67">
        <v>4</v>
      </c>
      <c r="AJ52" s="67">
        <v>0</v>
      </c>
      <c r="AK52" s="67">
        <v>0</v>
      </c>
      <c r="AL52" s="67">
        <v>0</v>
      </c>
      <c r="AM52" s="67">
        <v>0</v>
      </c>
      <c r="AN52" s="67">
        <v>0</v>
      </c>
      <c r="AO52" s="67">
        <v>0</v>
      </c>
      <c r="AP52" s="67">
        <v>0</v>
      </c>
      <c r="AQ52" s="67">
        <v>0</v>
      </c>
      <c r="AR52" s="67">
        <v>0</v>
      </c>
      <c r="AS52" s="68">
        <v>10</v>
      </c>
      <c r="AT52" s="68">
        <v>6</v>
      </c>
      <c r="AU52" s="407"/>
      <c r="AV52" s="233">
        <v>0.04</v>
      </c>
      <c r="AW52" s="19"/>
      <c r="AX52" s="19"/>
      <c r="AY52" s="19"/>
      <c r="AZ52" s="19"/>
      <c r="BA52" s="19"/>
      <c r="BB52" s="19"/>
      <c r="BC52" s="19" t="s">
        <v>66</v>
      </c>
      <c r="BD52" s="19" t="s">
        <v>66</v>
      </c>
      <c r="BE52" s="19"/>
      <c r="BF52" s="19"/>
      <c r="BG52" s="19" t="s">
        <v>65</v>
      </c>
      <c r="BH52" s="19" t="s">
        <v>65</v>
      </c>
      <c r="BI52" s="19" t="s">
        <v>65</v>
      </c>
      <c r="BJ52" s="19" t="s">
        <v>66</v>
      </c>
      <c r="BK52" s="19" t="s">
        <v>66</v>
      </c>
      <c r="BL52" s="19" t="s">
        <v>65</v>
      </c>
      <c r="BM52" s="19" t="s">
        <v>65</v>
      </c>
      <c r="BN52" s="19"/>
      <c r="BO52" s="19"/>
      <c r="BP52" s="19"/>
      <c r="BQ52" s="19" t="s">
        <v>66</v>
      </c>
      <c r="BR52" s="19"/>
      <c r="BS52" s="19"/>
      <c r="BT52" s="19"/>
      <c r="BU52" s="19"/>
      <c r="BV52" s="19"/>
      <c r="BW52" s="19"/>
      <c r="BX52" s="19" t="s">
        <v>66</v>
      </c>
      <c r="BY52" s="19" t="s">
        <v>66</v>
      </c>
      <c r="BZ52" s="19"/>
      <c r="CA52" s="19" t="s">
        <v>66</v>
      </c>
      <c r="CB52" s="409"/>
    </row>
    <row r="53" spans="1:80" ht="15" customHeight="1" outlineLevel="1">
      <c r="A53" s="42">
        <v>20</v>
      </c>
      <c r="B53" s="47" t="s">
        <v>180</v>
      </c>
      <c r="C53" s="59" t="s">
        <v>135</v>
      </c>
      <c r="D53" s="51" t="s">
        <v>181</v>
      </c>
      <c r="E53" s="51" t="s">
        <v>60</v>
      </c>
      <c r="F53" s="51">
        <v>122001214</v>
      </c>
      <c r="G53" s="51" t="s">
        <v>69</v>
      </c>
      <c r="H53" s="695" t="s">
        <v>88</v>
      </c>
      <c r="I53" s="44" t="s">
        <v>106</v>
      </c>
      <c r="J53" s="430">
        <v>66</v>
      </c>
      <c r="K53" s="45">
        <f t="shared" si="19"/>
        <v>0</v>
      </c>
      <c r="L53" s="46">
        <f t="shared" si="20"/>
        <v>-66</v>
      </c>
      <c r="M53" s="50">
        <v>18</v>
      </c>
      <c r="N53" s="50">
        <v>23</v>
      </c>
      <c r="O53" s="432">
        <v>4.5020463847203276</v>
      </c>
      <c r="P53" s="327"/>
      <c r="Q53" s="65"/>
      <c r="R53" s="66">
        <f t="shared" si="18"/>
        <v>0</v>
      </c>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8"/>
      <c r="AT53" s="68"/>
      <c r="AU53" s="407"/>
      <c r="AV53" s="233"/>
      <c r="AW53" s="19"/>
      <c r="AX53" s="19"/>
      <c r="AY53" s="19"/>
      <c r="AZ53" s="19"/>
      <c r="BA53" s="19"/>
      <c r="BB53" s="19"/>
      <c r="BC53" s="19" t="s">
        <v>66</v>
      </c>
      <c r="BD53" s="19" t="s">
        <v>66</v>
      </c>
      <c r="BE53" s="19"/>
      <c r="BF53" s="19"/>
      <c r="BG53" s="19"/>
      <c r="BH53" s="19"/>
      <c r="BI53" s="19"/>
      <c r="BJ53" s="19" t="s">
        <v>66</v>
      </c>
      <c r="BK53" s="19" t="s">
        <v>66</v>
      </c>
      <c r="BL53" s="19"/>
      <c r="BM53" s="19"/>
      <c r="BN53" s="19"/>
      <c r="BO53" s="19"/>
      <c r="BP53" s="19"/>
      <c r="BQ53" s="19" t="s">
        <v>66</v>
      </c>
      <c r="BR53" s="19"/>
      <c r="BS53" s="19"/>
      <c r="BT53" s="19"/>
      <c r="BU53" s="19"/>
      <c r="BV53" s="19"/>
      <c r="BW53" s="19"/>
      <c r="BX53" s="19" t="s">
        <v>66</v>
      </c>
      <c r="BY53" s="19" t="s">
        <v>66</v>
      </c>
      <c r="BZ53" s="19"/>
      <c r="CA53" s="19" t="s">
        <v>66</v>
      </c>
      <c r="CB53" s="409"/>
    </row>
    <row r="54" spans="1:80" ht="15" customHeight="1" outlineLevel="1">
      <c r="A54" s="42">
        <v>21</v>
      </c>
      <c r="B54" s="47" t="s">
        <v>182</v>
      </c>
      <c r="C54" s="59" t="s">
        <v>135</v>
      </c>
      <c r="D54" s="51" t="s">
        <v>183</v>
      </c>
      <c r="E54" s="51" t="s">
        <v>60</v>
      </c>
      <c r="F54" s="51">
        <v>122001216</v>
      </c>
      <c r="G54" s="51" t="s">
        <v>69</v>
      </c>
      <c r="H54" s="695" t="s">
        <v>88</v>
      </c>
      <c r="I54" s="44" t="s">
        <v>106</v>
      </c>
      <c r="J54" s="430">
        <v>66</v>
      </c>
      <c r="K54" s="45">
        <f t="shared" si="19"/>
        <v>0</v>
      </c>
      <c r="L54" s="46">
        <f t="shared" si="20"/>
        <v>-66</v>
      </c>
      <c r="M54" s="50">
        <v>24</v>
      </c>
      <c r="N54" s="50">
        <v>30</v>
      </c>
      <c r="O54" s="432">
        <v>4.5020463847203276</v>
      </c>
      <c r="P54" s="327"/>
      <c r="Q54" s="65"/>
      <c r="R54" s="66">
        <f t="shared" si="18"/>
        <v>0</v>
      </c>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8"/>
      <c r="AT54" s="68"/>
      <c r="AU54" s="407"/>
      <c r="AV54" s="233"/>
      <c r="AW54" s="19"/>
      <c r="AX54" s="19"/>
      <c r="AY54" s="19"/>
      <c r="AZ54" s="19"/>
      <c r="BA54" s="19"/>
      <c r="BB54" s="19"/>
      <c r="BC54" s="19" t="s">
        <v>66</v>
      </c>
      <c r="BD54" s="19" t="s">
        <v>66</v>
      </c>
      <c r="BE54" s="19"/>
      <c r="BF54" s="19"/>
      <c r="BG54" s="19"/>
      <c r="BH54" s="19"/>
      <c r="BI54" s="19"/>
      <c r="BJ54" s="19" t="s">
        <v>66</v>
      </c>
      <c r="BK54" s="19" t="s">
        <v>66</v>
      </c>
      <c r="BL54" s="19"/>
      <c r="BM54" s="19"/>
      <c r="BN54" s="19"/>
      <c r="BO54" s="19"/>
      <c r="BP54" s="19"/>
      <c r="BQ54" s="19" t="s">
        <v>66</v>
      </c>
      <c r="BR54" s="19"/>
      <c r="BS54" s="19"/>
      <c r="BT54" s="19"/>
      <c r="BU54" s="19"/>
      <c r="BV54" s="19"/>
      <c r="BW54" s="19"/>
      <c r="BX54" s="19" t="s">
        <v>66</v>
      </c>
      <c r="BY54" s="19" t="s">
        <v>66</v>
      </c>
      <c r="BZ54" s="19"/>
      <c r="CA54" s="19" t="s">
        <v>66</v>
      </c>
      <c r="CB54" s="409"/>
    </row>
    <row r="55" spans="1:80" s="17" customFormat="1" ht="15.75" customHeight="1" outlineLevel="1">
      <c r="A55" s="42"/>
      <c r="B55" s="55" t="s">
        <v>184</v>
      </c>
      <c r="C55" s="671"/>
      <c r="D55" s="56"/>
      <c r="E55" s="56"/>
      <c r="F55" s="56"/>
      <c r="G55" s="56"/>
      <c r="H55" s="697"/>
      <c r="I55" s="56"/>
      <c r="J55" s="56"/>
      <c r="K55" s="56"/>
      <c r="L55" s="56"/>
      <c r="M55" s="56"/>
      <c r="N55" s="57"/>
      <c r="O55" s="57"/>
      <c r="P55" s="329"/>
      <c r="Q55" s="61"/>
      <c r="R55" s="61"/>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410">
        <f>IFERROR(SUMIF(AU56:AU90,"OK",CB56:CB90)/COUNTA(B56:B90),0)</f>
        <v>0</v>
      </c>
      <c r="AV55" s="232">
        <f>AVERAGE(AV56:AV90)</f>
        <v>4.0666666666666663E-2</v>
      </c>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61"/>
      <c r="CB55" s="409">
        <f t="shared" ref="CB55:CB94" si="21">IF(AU55="OK",1,0)</f>
        <v>0</v>
      </c>
    </row>
    <row r="56" spans="1:80" ht="15" customHeight="1" outlineLevel="1">
      <c r="A56" s="42">
        <v>1</v>
      </c>
      <c r="B56" s="47" t="s">
        <v>185</v>
      </c>
      <c r="C56" s="670" t="s">
        <v>186</v>
      </c>
      <c r="D56" s="51" t="s">
        <v>187</v>
      </c>
      <c r="E56" s="51" t="s">
        <v>188</v>
      </c>
      <c r="F56" s="51">
        <v>122001223</v>
      </c>
      <c r="G56" s="51" t="s">
        <v>69</v>
      </c>
      <c r="H56" s="694" t="s">
        <v>62</v>
      </c>
      <c r="I56" s="52" t="s">
        <v>63</v>
      </c>
      <c r="J56" s="433">
        <v>307.86</v>
      </c>
      <c r="K56" s="147">
        <f>+Q56</f>
        <v>232</v>
      </c>
      <c r="L56" s="147">
        <f>+K56-J56</f>
        <v>-75.860000000000014</v>
      </c>
      <c r="M56" s="49">
        <v>1</v>
      </c>
      <c r="N56" s="49">
        <v>30</v>
      </c>
      <c r="O56" s="431">
        <v>21</v>
      </c>
      <c r="P56" s="327" t="s">
        <v>189</v>
      </c>
      <c r="Q56" s="65">
        <v>232</v>
      </c>
      <c r="R56" s="66">
        <v>52</v>
      </c>
      <c r="S56" s="67">
        <v>3</v>
      </c>
      <c r="T56" s="67">
        <v>0</v>
      </c>
      <c r="U56" s="67">
        <v>3</v>
      </c>
      <c r="V56" s="67">
        <v>0</v>
      </c>
      <c r="W56" s="67">
        <v>17</v>
      </c>
      <c r="X56" s="67">
        <v>0</v>
      </c>
      <c r="Y56" s="67">
        <v>0</v>
      </c>
      <c r="Z56" s="67">
        <v>0</v>
      </c>
      <c r="AA56" s="67">
        <v>4</v>
      </c>
      <c r="AB56" s="67">
        <v>0</v>
      </c>
      <c r="AC56" s="67">
        <v>9</v>
      </c>
      <c r="AD56" s="67">
        <v>0</v>
      </c>
      <c r="AE56" s="67">
        <v>0</v>
      </c>
      <c r="AF56" s="67">
        <v>0</v>
      </c>
      <c r="AG56" s="67">
        <v>2</v>
      </c>
      <c r="AH56" s="67">
        <v>0</v>
      </c>
      <c r="AI56" s="67">
        <v>10</v>
      </c>
      <c r="AJ56" s="67">
        <v>0</v>
      </c>
      <c r="AK56" s="67">
        <v>0</v>
      </c>
      <c r="AL56" s="67">
        <v>0</v>
      </c>
      <c r="AM56" s="67">
        <v>4</v>
      </c>
      <c r="AN56" s="67">
        <v>0</v>
      </c>
      <c r="AO56" s="67">
        <v>0</v>
      </c>
      <c r="AP56" s="67">
        <v>0</v>
      </c>
      <c r="AQ56" s="67">
        <v>0</v>
      </c>
      <c r="AR56" s="67">
        <v>0</v>
      </c>
      <c r="AS56" s="68">
        <v>30</v>
      </c>
      <c r="AT56" s="68">
        <v>22</v>
      </c>
      <c r="AU56" s="407"/>
      <c r="AV56" s="233">
        <v>0.04</v>
      </c>
      <c r="AW56" s="19" t="s">
        <v>65</v>
      </c>
      <c r="AX56" s="19" t="s">
        <v>65</v>
      </c>
      <c r="AY56" s="19" t="s">
        <v>65</v>
      </c>
      <c r="AZ56" s="19" t="s">
        <v>65</v>
      </c>
      <c r="BA56" s="19" t="s">
        <v>65</v>
      </c>
      <c r="BB56" s="19" t="s">
        <v>65</v>
      </c>
      <c r="BC56" s="19" t="s">
        <v>66</v>
      </c>
      <c r="BD56" s="19" t="s">
        <v>66</v>
      </c>
      <c r="BE56" s="19" t="s">
        <v>65</v>
      </c>
      <c r="BF56" s="19" t="s">
        <v>65</v>
      </c>
      <c r="BG56" s="19" t="s">
        <v>65</v>
      </c>
      <c r="BH56" s="19" t="s">
        <v>65</v>
      </c>
      <c r="BI56" s="19" t="s">
        <v>65</v>
      </c>
      <c r="BJ56" s="19" t="s">
        <v>66</v>
      </c>
      <c r="BK56" s="19" t="s">
        <v>66</v>
      </c>
      <c r="BL56" s="19"/>
      <c r="BM56" s="19"/>
      <c r="BN56" s="19"/>
      <c r="BO56" s="19"/>
      <c r="BP56" s="19"/>
      <c r="BQ56" s="19" t="s">
        <v>66</v>
      </c>
      <c r="BR56" s="19"/>
      <c r="BS56" s="19"/>
      <c r="BT56" s="19"/>
      <c r="BU56" s="19"/>
      <c r="BV56" s="19"/>
      <c r="BW56" s="19"/>
      <c r="BX56" s="19" t="s">
        <v>66</v>
      </c>
      <c r="BY56" s="19" t="s">
        <v>66</v>
      </c>
      <c r="BZ56" s="19"/>
      <c r="CA56" s="19" t="s">
        <v>66</v>
      </c>
      <c r="CB56" s="409">
        <f t="shared" si="21"/>
        <v>0</v>
      </c>
    </row>
    <row r="57" spans="1:80" ht="14.45" customHeight="1" outlineLevel="1">
      <c r="A57" s="42">
        <v>2</v>
      </c>
      <c r="B57" s="47" t="s">
        <v>190</v>
      </c>
      <c r="C57" s="670" t="s">
        <v>186</v>
      </c>
      <c r="D57" s="51" t="s">
        <v>191</v>
      </c>
      <c r="E57" s="51" t="s">
        <v>192</v>
      </c>
      <c r="F57" s="51">
        <v>122001190</v>
      </c>
      <c r="G57" s="51" t="s">
        <v>61</v>
      </c>
      <c r="H57" s="694" t="s">
        <v>62</v>
      </c>
      <c r="I57" s="52" t="s">
        <v>63</v>
      </c>
      <c r="J57" s="433">
        <v>76.965000000000003</v>
      </c>
      <c r="K57" s="147">
        <f t="shared" ref="K57:K66" si="22">+Q57</f>
        <v>72</v>
      </c>
      <c r="L57" s="147">
        <f t="shared" ref="L57:L66" si="23">+K57-J57</f>
        <v>-4.9650000000000034</v>
      </c>
      <c r="M57" s="49">
        <v>1</v>
      </c>
      <c r="N57" s="49">
        <v>17</v>
      </c>
      <c r="O57" s="431">
        <v>10.5</v>
      </c>
      <c r="P57" s="327" t="s">
        <v>193</v>
      </c>
      <c r="Q57" s="65">
        <v>72</v>
      </c>
      <c r="R57" s="66">
        <v>32</v>
      </c>
      <c r="S57" s="67">
        <v>3</v>
      </c>
      <c r="T57" s="67">
        <v>0</v>
      </c>
      <c r="U57" s="67">
        <v>8</v>
      </c>
      <c r="V57" s="67">
        <v>0</v>
      </c>
      <c r="W57" s="67">
        <v>4</v>
      </c>
      <c r="X57" s="67">
        <v>0</v>
      </c>
      <c r="Y57" s="67">
        <v>0</v>
      </c>
      <c r="Z57" s="67">
        <v>0</v>
      </c>
      <c r="AA57" s="67">
        <v>5</v>
      </c>
      <c r="AB57" s="67">
        <v>0</v>
      </c>
      <c r="AC57" s="67">
        <v>4</v>
      </c>
      <c r="AD57" s="67">
        <v>0</v>
      </c>
      <c r="AE57" s="67">
        <v>0</v>
      </c>
      <c r="AF57" s="67">
        <v>0</v>
      </c>
      <c r="AG57" s="67">
        <v>1</v>
      </c>
      <c r="AH57" s="67">
        <v>0</v>
      </c>
      <c r="AI57" s="67">
        <v>1</v>
      </c>
      <c r="AJ57" s="67">
        <v>0</v>
      </c>
      <c r="AK57" s="67">
        <v>1</v>
      </c>
      <c r="AL57" s="67">
        <v>0</v>
      </c>
      <c r="AM57" s="67">
        <v>4</v>
      </c>
      <c r="AN57" s="67">
        <v>0</v>
      </c>
      <c r="AO57" s="67">
        <v>1</v>
      </c>
      <c r="AP57" s="67">
        <v>0</v>
      </c>
      <c r="AQ57" s="67">
        <v>0</v>
      </c>
      <c r="AR57" s="67">
        <v>0</v>
      </c>
      <c r="AS57" s="68">
        <v>10</v>
      </c>
      <c r="AT57" s="68">
        <v>22</v>
      </c>
      <c r="AU57" s="407"/>
      <c r="AV57" s="233">
        <v>0.04</v>
      </c>
      <c r="AW57" s="19" t="s">
        <v>65</v>
      </c>
      <c r="AX57" s="19" t="s">
        <v>65</v>
      </c>
      <c r="AY57" s="19" t="s">
        <v>65</v>
      </c>
      <c r="AZ57" s="19" t="s">
        <v>65</v>
      </c>
      <c r="BA57" s="19" t="s">
        <v>65</v>
      </c>
      <c r="BB57" s="19"/>
      <c r="BC57" s="19" t="s">
        <v>66</v>
      </c>
      <c r="BD57" s="19" t="s">
        <v>66</v>
      </c>
      <c r="BE57" s="19"/>
      <c r="BF57" s="19"/>
      <c r="BG57" s="19"/>
      <c r="BH57" s="19"/>
      <c r="BI57" s="19"/>
      <c r="BJ57" s="19" t="s">
        <v>66</v>
      </c>
      <c r="BK57" s="19" t="s">
        <v>66</v>
      </c>
      <c r="BL57" s="19"/>
      <c r="BM57" s="19"/>
      <c r="BN57" s="19"/>
      <c r="BO57" s="19"/>
      <c r="BP57" s="19"/>
      <c r="BQ57" s="19" t="s">
        <v>66</v>
      </c>
      <c r="BR57" s="19"/>
      <c r="BS57" s="19"/>
      <c r="BT57" s="19"/>
      <c r="BU57" s="19"/>
      <c r="BV57" s="19"/>
      <c r="BW57" s="19"/>
      <c r="BX57" s="19" t="s">
        <v>66</v>
      </c>
      <c r="BY57" s="19" t="s">
        <v>66</v>
      </c>
      <c r="BZ57" s="19"/>
      <c r="CA57" s="19" t="s">
        <v>66</v>
      </c>
      <c r="CB57" s="409">
        <f t="shared" si="21"/>
        <v>0</v>
      </c>
    </row>
    <row r="58" spans="1:80" ht="15" customHeight="1" outlineLevel="1">
      <c r="A58" s="42">
        <v>3</v>
      </c>
      <c r="B58" s="47" t="s">
        <v>194</v>
      </c>
      <c r="C58" s="670" t="s">
        <v>186</v>
      </c>
      <c r="D58" s="51" t="s">
        <v>195</v>
      </c>
      <c r="E58" s="51" t="s">
        <v>188</v>
      </c>
      <c r="F58" s="51">
        <v>122001320</v>
      </c>
      <c r="G58" s="51" t="s">
        <v>74</v>
      </c>
      <c r="H58" s="694" t="s">
        <v>62</v>
      </c>
      <c r="I58" s="52" t="s">
        <v>63</v>
      </c>
      <c r="J58" s="433">
        <v>76.965000000000003</v>
      </c>
      <c r="K58" s="147">
        <f t="shared" si="22"/>
        <v>152</v>
      </c>
      <c r="L58" s="147">
        <f t="shared" si="23"/>
        <v>75.034999999999997</v>
      </c>
      <c r="M58" s="49">
        <v>6</v>
      </c>
      <c r="N58" s="49">
        <v>30</v>
      </c>
      <c r="O58" s="431">
        <v>10.5</v>
      </c>
      <c r="P58" s="327" t="s">
        <v>196</v>
      </c>
      <c r="Q58" s="65">
        <v>152</v>
      </c>
      <c r="R58" s="66">
        <v>64</v>
      </c>
      <c r="S58" s="67">
        <v>5</v>
      </c>
      <c r="T58" s="67">
        <v>0</v>
      </c>
      <c r="U58" s="67">
        <v>9</v>
      </c>
      <c r="V58" s="67">
        <v>0</v>
      </c>
      <c r="W58" s="67">
        <v>17</v>
      </c>
      <c r="X58" s="67">
        <v>0</v>
      </c>
      <c r="Y58" s="67">
        <v>0</v>
      </c>
      <c r="Z58" s="67">
        <v>0</v>
      </c>
      <c r="AA58" s="67">
        <v>11</v>
      </c>
      <c r="AB58" s="67">
        <v>0</v>
      </c>
      <c r="AC58" s="67">
        <v>6</v>
      </c>
      <c r="AD58" s="67">
        <v>0</v>
      </c>
      <c r="AE58" s="67">
        <v>2</v>
      </c>
      <c r="AF58" s="67">
        <v>0</v>
      </c>
      <c r="AG58" s="67">
        <v>2</v>
      </c>
      <c r="AH58" s="67">
        <v>0</v>
      </c>
      <c r="AI58" s="67">
        <v>15</v>
      </c>
      <c r="AJ58" s="67">
        <v>0</v>
      </c>
      <c r="AK58" s="67">
        <v>1</v>
      </c>
      <c r="AL58" s="67">
        <v>0</v>
      </c>
      <c r="AM58" s="67">
        <v>1</v>
      </c>
      <c r="AN58" s="67">
        <v>0</v>
      </c>
      <c r="AO58" s="67">
        <v>1</v>
      </c>
      <c r="AP58" s="67">
        <v>0</v>
      </c>
      <c r="AQ58" s="67">
        <v>0</v>
      </c>
      <c r="AR58" s="67">
        <v>0</v>
      </c>
      <c r="AS58" s="68">
        <v>28</v>
      </c>
      <c r="AT58" s="68">
        <v>42</v>
      </c>
      <c r="AU58" s="407"/>
      <c r="AV58" s="233"/>
      <c r="AW58" s="19"/>
      <c r="AX58" s="19"/>
      <c r="AY58" s="19"/>
      <c r="AZ58" s="19"/>
      <c r="BA58" s="19"/>
      <c r="BB58" s="19" t="s">
        <v>65</v>
      </c>
      <c r="BC58" s="19" t="s">
        <v>66</v>
      </c>
      <c r="BD58" s="19" t="s">
        <v>66</v>
      </c>
      <c r="BE58" s="19"/>
      <c r="BF58" s="19"/>
      <c r="BG58" s="19"/>
      <c r="BH58" s="19"/>
      <c r="BI58" s="19"/>
      <c r="BJ58" s="19" t="s">
        <v>66</v>
      </c>
      <c r="BK58" s="19" t="s">
        <v>66</v>
      </c>
      <c r="BL58" s="19"/>
      <c r="BM58" s="19"/>
      <c r="BN58" s="19"/>
      <c r="BO58" s="19"/>
      <c r="BP58" s="19"/>
      <c r="BQ58" s="19" t="s">
        <v>66</v>
      </c>
      <c r="BR58" s="19"/>
      <c r="BS58" s="19"/>
      <c r="BT58" s="19"/>
      <c r="BU58" s="19"/>
      <c r="BV58" s="19"/>
      <c r="BW58" s="19"/>
      <c r="BX58" s="19" t="s">
        <v>66</v>
      </c>
      <c r="BY58" s="19" t="s">
        <v>66</v>
      </c>
      <c r="BZ58" s="19"/>
      <c r="CA58" s="19" t="s">
        <v>66</v>
      </c>
      <c r="CB58" s="409">
        <f t="shared" si="21"/>
        <v>0</v>
      </c>
    </row>
    <row r="59" spans="1:80" ht="15" customHeight="1" outlineLevel="1">
      <c r="A59" s="42">
        <v>4</v>
      </c>
      <c r="B59" s="674" t="s">
        <v>197</v>
      </c>
      <c r="C59" s="670" t="s">
        <v>186</v>
      </c>
      <c r="D59" s="51" t="s">
        <v>198</v>
      </c>
      <c r="E59" s="51" t="s">
        <v>199</v>
      </c>
      <c r="F59" s="51">
        <v>122001229</v>
      </c>
      <c r="G59" s="51" t="s">
        <v>69</v>
      </c>
      <c r="H59" s="694" t="s">
        <v>62</v>
      </c>
      <c r="I59" s="52" t="s">
        <v>63</v>
      </c>
      <c r="J59" s="433">
        <v>52</v>
      </c>
      <c r="K59" s="147">
        <f t="shared" si="22"/>
        <v>104</v>
      </c>
      <c r="L59" s="147">
        <f t="shared" si="23"/>
        <v>52</v>
      </c>
      <c r="M59" s="49">
        <v>1</v>
      </c>
      <c r="N59" s="49">
        <v>18</v>
      </c>
      <c r="O59" s="431">
        <v>13</v>
      </c>
      <c r="P59" s="327" t="s">
        <v>200</v>
      </c>
      <c r="Q59" s="65">
        <v>104</v>
      </c>
      <c r="R59" s="66">
        <v>47</v>
      </c>
      <c r="S59" s="67">
        <v>4</v>
      </c>
      <c r="T59" s="67">
        <v>0</v>
      </c>
      <c r="U59" s="67">
        <v>19</v>
      </c>
      <c r="V59" s="67">
        <v>0</v>
      </c>
      <c r="W59" s="67">
        <v>3</v>
      </c>
      <c r="X59" s="67">
        <v>0</v>
      </c>
      <c r="Y59" s="67">
        <v>0</v>
      </c>
      <c r="Z59" s="67">
        <v>0</v>
      </c>
      <c r="AA59" s="67">
        <v>10</v>
      </c>
      <c r="AB59" s="67">
        <v>0</v>
      </c>
      <c r="AC59" s="67">
        <v>5</v>
      </c>
      <c r="AD59" s="67">
        <v>0</v>
      </c>
      <c r="AE59" s="67">
        <v>0</v>
      </c>
      <c r="AF59" s="67">
        <v>0</v>
      </c>
      <c r="AG59" s="67">
        <v>1</v>
      </c>
      <c r="AH59" s="67">
        <v>0</v>
      </c>
      <c r="AI59" s="67">
        <v>3</v>
      </c>
      <c r="AJ59" s="67">
        <v>0</v>
      </c>
      <c r="AK59" s="67">
        <v>0</v>
      </c>
      <c r="AL59" s="67">
        <v>0</v>
      </c>
      <c r="AM59" s="67">
        <v>1</v>
      </c>
      <c r="AN59" s="67">
        <v>0</v>
      </c>
      <c r="AO59" s="67">
        <v>1</v>
      </c>
      <c r="AP59" s="67">
        <v>0</v>
      </c>
      <c r="AQ59" s="67">
        <v>0</v>
      </c>
      <c r="AR59" s="67">
        <v>0</v>
      </c>
      <c r="AS59" s="68">
        <v>7</v>
      </c>
      <c r="AT59" s="68">
        <v>40</v>
      </c>
      <c r="AU59" s="407"/>
      <c r="AV59" s="233"/>
      <c r="AW59" s="19" t="s">
        <v>65</v>
      </c>
      <c r="AX59" s="19" t="s">
        <v>65</v>
      </c>
      <c r="AY59" s="19" t="s">
        <v>65</v>
      </c>
      <c r="AZ59" s="19" t="s">
        <v>65</v>
      </c>
      <c r="BA59" s="19" t="s">
        <v>65</v>
      </c>
      <c r="BB59" s="19" t="s">
        <v>65</v>
      </c>
      <c r="BC59" s="19" t="s">
        <v>66</v>
      </c>
      <c r="BD59" s="19" t="s">
        <v>66</v>
      </c>
      <c r="BE59" s="19"/>
      <c r="BF59" s="19"/>
      <c r="BG59" s="19"/>
      <c r="BH59" s="19"/>
      <c r="BI59" s="19"/>
      <c r="BJ59" s="19" t="s">
        <v>66</v>
      </c>
      <c r="BK59" s="19" t="s">
        <v>66</v>
      </c>
      <c r="BL59" s="19"/>
      <c r="BM59" s="19"/>
      <c r="BN59" s="19"/>
      <c r="BO59" s="19"/>
      <c r="BP59" s="19"/>
      <c r="BQ59" s="19" t="s">
        <v>66</v>
      </c>
      <c r="BR59" s="19"/>
      <c r="BS59" s="19"/>
      <c r="BT59" s="19"/>
      <c r="BU59" s="19"/>
      <c r="BV59" s="19"/>
      <c r="BW59" s="19"/>
      <c r="BX59" s="19" t="s">
        <v>66</v>
      </c>
      <c r="BY59" s="19" t="s">
        <v>66</v>
      </c>
      <c r="BZ59" s="19"/>
      <c r="CA59" s="19" t="s">
        <v>66</v>
      </c>
      <c r="CB59" s="409">
        <f t="shared" si="21"/>
        <v>0</v>
      </c>
    </row>
    <row r="60" spans="1:80" ht="15" customHeight="1" outlineLevel="1">
      <c r="A60" s="42">
        <v>5</v>
      </c>
      <c r="B60" s="674" t="s">
        <v>201</v>
      </c>
      <c r="C60" s="670" t="s">
        <v>186</v>
      </c>
      <c r="D60" s="51" t="s">
        <v>202</v>
      </c>
      <c r="E60" s="51" t="s">
        <v>199</v>
      </c>
      <c r="F60" s="51">
        <v>122001327</v>
      </c>
      <c r="G60" s="51" t="s">
        <v>203</v>
      </c>
      <c r="H60" s="694" t="s">
        <v>62</v>
      </c>
      <c r="I60" s="52" t="s">
        <v>63</v>
      </c>
      <c r="J60" s="433">
        <v>20</v>
      </c>
      <c r="K60" s="147">
        <f t="shared" si="22"/>
        <v>32</v>
      </c>
      <c r="L60" s="147">
        <f t="shared" si="23"/>
        <v>12</v>
      </c>
      <c r="M60" s="49">
        <v>22</v>
      </c>
      <c r="N60" s="49">
        <v>26</v>
      </c>
      <c r="O60" s="431">
        <v>5</v>
      </c>
      <c r="P60" s="327" t="s">
        <v>204</v>
      </c>
      <c r="Q60" s="65">
        <v>32</v>
      </c>
      <c r="R60" s="66">
        <v>12</v>
      </c>
      <c r="S60" s="67">
        <v>3</v>
      </c>
      <c r="T60" s="67">
        <v>0</v>
      </c>
      <c r="U60" s="67">
        <v>4</v>
      </c>
      <c r="V60" s="67">
        <v>0</v>
      </c>
      <c r="W60" s="67">
        <v>0</v>
      </c>
      <c r="X60" s="67">
        <v>0</v>
      </c>
      <c r="Y60" s="67">
        <v>0</v>
      </c>
      <c r="Z60" s="67">
        <v>0</v>
      </c>
      <c r="AA60" s="67">
        <v>0</v>
      </c>
      <c r="AB60" s="67">
        <v>0</v>
      </c>
      <c r="AC60" s="67">
        <v>2</v>
      </c>
      <c r="AD60" s="67">
        <v>0</v>
      </c>
      <c r="AE60" s="67">
        <v>1</v>
      </c>
      <c r="AF60" s="67">
        <v>0</v>
      </c>
      <c r="AG60" s="67">
        <v>1</v>
      </c>
      <c r="AH60" s="67">
        <v>0</v>
      </c>
      <c r="AI60" s="67">
        <v>1</v>
      </c>
      <c r="AJ60" s="67">
        <v>0</v>
      </c>
      <c r="AK60" s="67">
        <v>0</v>
      </c>
      <c r="AL60" s="67">
        <v>0</v>
      </c>
      <c r="AM60" s="67">
        <v>0</v>
      </c>
      <c r="AN60" s="67">
        <v>0</v>
      </c>
      <c r="AO60" s="67">
        <v>0</v>
      </c>
      <c r="AP60" s="67">
        <v>0</v>
      </c>
      <c r="AQ60" s="67">
        <v>0</v>
      </c>
      <c r="AR60" s="67">
        <v>0</v>
      </c>
      <c r="AS60" s="68">
        <v>1</v>
      </c>
      <c r="AT60" s="68">
        <v>11</v>
      </c>
      <c r="AU60" s="407"/>
      <c r="AV60" s="233"/>
      <c r="AW60" s="19"/>
      <c r="AX60" s="19"/>
      <c r="AY60" s="19"/>
      <c r="AZ60" s="19"/>
      <c r="BA60" s="19"/>
      <c r="BB60" s="19"/>
      <c r="BC60" s="19" t="s">
        <v>66</v>
      </c>
      <c r="BD60" s="19" t="s">
        <v>66</v>
      </c>
      <c r="BE60" s="19"/>
      <c r="BF60" s="19"/>
      <c r="BG60" s="19"/>
      <c r="BH60" s="19"/>
      <c r="BI60" s="19"/>
      <c r="BJ60" s="19" t="s">
        <v>66</v>
      </c>
      <c r="BK60" s="19" t="s">
        <v>66</v>
      </c>
      <c r="BL60" s="19"/>
      <c r="BM60" s="19"/>
      <c r="BN60" s="19"/>
      <c r="BO60" s="19"/>
      <c r="BP60" s="19"/>
      <c r="BQ60" s="19" t="s">
        <v>66</v>
      </c>
      <c r="BR60" s="19" t="s">
        <v>65</v>
      </c>
      <c r="BS60" s="19" t="s">
        <v>65</v>
      </c>
      <c r="BT60" s="19" t="s">
        <v>65</v>
      </c>
      <c r="BU60" s="19" t="s">
        <v>65</v>
      </c>
      <c r="BV60" s="19"/>
      <c r="BW60" s="19"/>
      <c r="BX60" s="19" t="s">
        <v>66</v>
      </c>
      <c r="BY60" s="19" t="s">
        <v>66</v>
      </c>
      <c r="BZ60" s="19"/>
      <c r="CA60" s="19" t="s">
        <v>66</v>
      </c>
      <c r="CB60" s="409">
        <f t="shared" si="21"/>
        <v>0</v>
      </c>
    </row>
    <row r="61" spans="1:80" ht="15" customHeight="1" outlineLevel="1">
      <c r="A61" s="42">
        <v>6</v>
      </c>
      <c r="B61" s="674" t="s">
        <v>205</v>
      </c>
      <c r="C61" s="670" t="s">
        <v>186</v>
      </c>
      <c r="D61" s="51" t="s">
        <v>206</v>
      </c>
      <c r="E61" s="51" t="s">
        <v>199</v>
      </c>
      <c r="F61" s="51">
        <v>122001192</v>
      </c>
      <c r="G61" s="51" t="s">
        <v>61</v>
      </c>
      <c r="H61" s="694" t="s">
        <v>62</v>
      </c>
      <c r="I61" s="52" t="s">
        <v>63</v>
      </c>
      <c r="J61" s="433">
        <v>8</v>
      </c>
      <c r="K61" s="147">
        <f t="shared" si="22"/>
        <v>8</v>
      </c>
      <c r="L61" s="147">
        <f t="shared" si="23"/>
        <v>0</v>
      </c>
      <c r="M61" s="49">
        <v>19</v>
      </c>
      <c r="N61" s="49">
        <v>27</v>
      </c>
      <c r="O61" s="431">
        <v>2</v>
      </c>
      <c r="P61" s="327" t="s">
        <v>207</v>
      </c>
      <c r="Q61" s="65">
        <v>8</v>
      </c>
      <c r="R61" s="66">
        <f t="shared" si="18"/>
        <v>3</v>
      </c>
      <c r="S61" s="67">
        <v>0</v>
      </c>
      <c r="T61" s="67">
        <v>0</v>
      </c>
      <c r="U61" s="67">
        <v>2</v>
      </c>
      <c r="V61" s="67">
        <v>0</v>
      </c>
      <c r="W61" s="67">
        <v>1</v>
      </c>
      <c r="X61" s="67">
        <v>0</v>
      </c>
      <c r="Y61" s="67">
        <v>0</v>
      </c>
      <c r="Z61" s="67">
        <v>0</v>
      </c>
      <c r="AA61" s="67">
        <v>0</v>
      </c>
      <c r="AB61" s="67">
        <v>0</v>
      </c>
      <c r="AC61" s="67">
        <v>0</v>
      </c>
      <c r="AD61" s="67">
        <v>0</v>
      </c>
      <c r="AE61" s="67">
        <v>0</v>
      </c>
      <c r="AF61" s="67">
        <v>0</v>
      </c>
      <c r="AG61" s="67">
        <v>0</v>
      </c>
      <c r="AH61" s="67">
        <v>0</v>
      </c>
      <c r="AI61" s="67">
        <v>0</v>
      </c>
      <c r="AJ61" s="67">
        <v>0</v>
      </c>
      <c r="AK61" s="67">
        <v>0</v>
      </c>
      <c r="AL61" s="67">
        <v>0</v>
      </c>
      <c r="AM61" s="67">
        <v>0</v>
      </c>
      <c r="AN61" s="67">
        <v>0</v>
      </c>
      <c r="AO61" s="67">
        <v>0</v>
      </c>
      <c r="AP61" s="67">
        <v>0</v>
      </c>
      <c r="AQ61" s="67">
        <v>0</v>
      </c>
      <c r="AR61" s="67">
        <v>0</v>
      </c>
      <c r="AS61" s="68">
        <v>1</v>
      </c>
      <c r="AT61" s="68">
        <v>2</v>
      </c>
      <c r="AU61" s="407"/>
      <c r="AV61" s="233"/>
      <c r="AW61" s="19"/>
      <c r="AX61" s="19"/>
      <c r="AY61" s="19"/>
      <c r="AZ61" s="19"/>
      <c r="BA61" s="19"/>
      <c r="BB61" s="19"/>
      <c r="BC61" s="19" t="s">
        <v>66</v>
      </c>
      <c r="BD61" s="19" t="s">
        <v>66</v>
      </c>
      <c r="BE61" s="19"/>
      <c r="BF61" s="19"/>
      <c r="BG61" s="19"/>
      <c r="BH61" s="19"/>
      <c r="BI61" s="19"/>
      <c r="BJ61" s="19" t="s">
        <v>66</v>
      </c>
      <c r="BK61" s="19" t="s">
        <v>66</v>
      </c>
      <c r="BL61" s="19"/>
      <c r="BM61" s="19"/>
      <c r="BN61" s="19"/>
      <c r="BO61" s="19" t="s">
        <v>65</v>
      </c>
      <c r="BP61" s="19" t="s">
        <v>65</v>
      </c>
      <c r="BQ61" s="19" t="s">
        <v>66</v>
      </c>
      <c r="BR61" s="19"/>
      <c r="BS61" s="19"/>
      <c r="BT61" s="19"/>
      <c r="BU61" s="19"/>
      <c r="BV61" s="19"/>
      <c r="BW61" s="19"/>
      <c r="BX61" s="19" t="s">
        <v>66</v>
      </c>
      <c r="BY61" s="19" t="s">
        <v>66</v>
      </c>
      <c r="BZ61" s="19"/>
      <c r="CA61" s="19" t="s">
        <v>66</v>
      </c>
      <c r="CB61" s="409">
        <f t="shared" si="21"/>
        <v>0</v>
      </c>
    </row>
    <row r="62" spans="1:80" ht="15" customHeight="1" outlineLevel="1">
      <c r="A62" s="42">
        <v>7</v>
      </c>
      <c r="B62" s="47" t="s">
        <v>208</v>
      </c>
      <c r="C62" s="670" t="s">
        <v>186</v>
      </c>
      <c r="D62" s="51" t="s">
        <v>209</v>
      </c>
      <c r="E62" s="51" t="s">
        <v>199</v>
      </c>
      <c r="F62" s="51">
        <v>122001285</v>
      </c>
      <c r="G62" s="51" t="s">
        <v>87</v>
      </c>
      <c r="H62" s="694" t="s">
        <v>62</v>
      </c>
      <c r="I62" s="52" t="s">
        <v>63</v>
      </c>
      <c r="J62" s="433">
        <v>4</v>
      </c>
      <c r="K62" s="147">
        <f t="shared" si="22"/>
        <v>0</v>
      </c>
      <c r="L62" s="147">
        <f t="shared" si="23"/>
        <v>-4</v>
      </c>
      <c r="M62" s="49">
        <v>30</v>
      </c>
      <c r="N62" s="49">
        <v>30</v>
      </c>
      <c r="O62" s="431">
        <v>1</v>
      </c>
      <c r="P62" s="327"/>
      <c r="Q62" s="65"/>
      <c r="R62" s="66">
        <f t="shared" si="18"/>
        <v>0</v>
      </c>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8"/>
      <c r="AT62" s="68"/>
      <c r="AU62" s="407"/>
      <c r="AV62" s="233"/>
      <c r="AW62" s="19"/>
      <c r="AX62" s="19"/>
      <c r="AY62" s="19"/>
      <c r="AZ62" s="19"/>
      <c r="BA62" s="19"/>
      <c r="BB62" s="19"/>
      <c r="BC62" s="19" t="s">
        <v>66</v>
      </c>
      <c r="BD62" s="19" t="s">
        <v>66</v>
      </c>
      <c r="BE62" s="19"/>
      <c r="BF62" s="19"/>
      <c r="BG62" s="19"/>
      <c r="BH62" s="19"/>
      <c r="BI62" s="19"/>
      <c r="BJ62" s="19" t="s">
        <v>66</v>
      </c>
      <c r="BK62" s="19" t="s">
        <v>66</v>
      </c>
      <c r="BL62" s="19"/>
      <c r="BM62" s="19"/>
      <c r="BN62" s="19"/>
      <c r="BO62" s="19"/>
      <c r="BP62" s="19"/>
      <c r="BQ62" s="19" t="s">
        <v>66</v>
      </c>
      <c r="BR62" s="19"/>
      <c r="BS62" s="19"/>
      <c r="BT62" s="19"/>
      <c r="BU62" s="19"/>
      <c r="BV62" s="19"/>
      <c r="BW62" s="19"/>
      <c r="BX62" s="19" t="s">
        <v>66</v>
      </c>
      <c r="BY62" s="19" t="s">
        <v>66</v>
      </c>
      <c r="BZ62" s="19"/>
      <c r="CA62" s="19" t="s">
        <v>66</v>
      </c>
      <c r="CB62" s="409">
        <f t="shared" si="21"/>
        <v>0</v>
      </c>
    </row>
    <row r="63" spans="1:80" ht="15" customHeight="1" outlineLevel="1">
      <c r="A63" s="42">
        <v>8</v>
      </c>
      <c r="B63" s="47" t="s">
        <v>210</v>
      </c>
      <c r="C63" s="670" t="s">
        <v>186</v>
      </c>
      <c r="D63" s="51" t="s">
        <v>211</v>
      </c>
      <c r="E63" s="51" t="s">
        <v>212</v>
      </c>
      <c r="F63" s="51">
        <v>122001224</v>
      </c>
      <c r="G63" s="51" t="s">
        <v>69</v>
      </c>
      <c r="H63" s="694" t="s">
        <v>62</v>
      </c>
      <c r="I63" s="52" t="s">
        <v>63</v>
      </c>
      <c r="J63" s="433">
        <v>249.22</v>
      </c>
      <c r="K63" s="147">
        <f t="shared" si="22"/>
        <v>232</v>
      </c>
      <c r="L63" s="147">
        <f t="shared" si="23"/>
        <v>-17.22</v>
      </c>
      <c r="M63" s="49">
        <v>1</v>
      </c>
      <c r="N63" s="49">
        <v>24</v>
      </c>
      <c r="O63" s="431">
        <v>17</v>
      </c>
      <c r="P63" s="327" t="s">
        <v>64</v>
      </c>
      <c r="Q63" s="65">
        <v>232</v>
      </c>
      <c r="R63" s="66">
        <v>38</v>
      </c>
      <c r="S63" s="67">
        <v>2</v>
      </c>
      <c r="T63" s="67">
        <v>0</v>
      </c>
      <c r="U63" s="67">
        <v>0</v>
      </c>
      <c r="V63" s="67">
        <v>0</v>
      </c>
      <c r="W63" s="67">
        <v>8</v>
      </c>
      <c r="X63" s="67">
        <v>0</v>
      </c>
      <c r="Y63" s="67">
        <v>1</v>
      </c>
      <c r="Z63" s="67">
        <v>0</v>
      </c>
      <c r="AA63" s="67">
        <v>1</v>
      </c>
      <c r="AB63" s="67">
        <v>0</v>
      </c>
      <c r="AC63" s="67">
        <v>3</v>
      </c>
      <c r="AD63" s="67">
        <v>0</v>
      </c>
      <c r="AE63" s="67">
        <v>1</v>
      </c>
      <c r="AF63" s="67">
        <v>0</v>
      </c>
      <c r="AG63" s="67">
        <v>1</v>
      </c>
      <c r="AH63" s="67">
        <v>0</v>
      </c>
      <c r="AI63" s="67">
        <v>4</v>
      </c>
      <c r="AJ63" s="67">
        <v>0</v>
      </c>
      <c r="AK63" s="67">
        <v>1</v>
      </c>
      <c r="AL63" s="67">
        <v>0</v>
      </c>
      <c r="AM63" s="67">
        <v>14</v>
      </c>
      <c r="AN63" s="67">
        <v>0</v>
      </c>
      <c r="AO63" s="67">
        <v>2</v>
      </c>
      <c r="AP63" s="67">
        <v>0</v>
      </c>
      <c r="AQ63" s="67">
        <v>0</v>
      </c>
      <c r="AR63" s="67">
        <v>0</v>
      </c>
      <c r="AS63" s="68">
        <v>18</v>
      </c>
      <c r="AT63" s="68">
        <v>20</v>
      </c>
      <c r="AU63" s="407"/>
      <c r="AV63" s="233"/>
      <c r="AW63" s="19" t="s">
        <v>65</v>
      </c>
      <c r="AX63" s="19" t="s">
        <v>65</v>
      </c>
      <c r="AY63" s="19" t="s">
        <v>65</v>
      </c>
      <c r="AZ63" s="19" t="s">
        <v>65</v>
      </c>
      <c r="BA63" s="19" t="s">
        <v>65</v>
      </c>
      <c r="BB63" s="19" t="s">
        <v>65</v>
      </c>
      <c r="BC63" s="19" t="s">
        <v>66</v>
      </c>
      <c r="BD63" s="19" t="s">
        <v>66</v>
      </c>
      <c r="BE63" s="19" t="s">
        <v>65</v>
      </c>
      <c r="BF63" s="19" t="s">
        <v>65</v>
      </c>
      <c r="BG63" s="19" t="s">
        <v>65</v>
      </c>
      <c r="BH63" s="19" t="s">
        <v>65</v>
      </c>
      <c r="BI63" s="19" t="s">
        <v>65</v>
      </c>
      <c r="BJ63" s="19" t="s">
        <v>66</v>
      </c>
      <c r="BK63" s="19" t="s">
        <v>66</v>
      </c>
      <c r="BL63" s="19" t="s">
        <v>65</v>
      </c>
      <c r="BM63" s="19" t="s">
        <v>65</v>
      </c>
      <c r="BN63" s="19" t="s">
        <v>65</v>
      </c>
      <c r="BO63" s="19" t="s">
        <v>65</v>
      </c>
      <c r="BP63" s="19" t="s">
        <v>65</v>
      </c>
      <c r="BQ63" s="19" t="s">
        <v>66</v>
      </c>
      <c r="BR63" s="19"/>
      <c r="BS63" s="19"/>
      <c r="BT63" s="19"/>
      <c r="BU63" s="19"/>
      <c r="BV63" s="19"/>
      <c r="BW63" s="19"/>
      <c r="BX63" s="19" t="s">
        <v>66</v>
      </c>
      <c r="BY63" s="19" t="s">
        <v>66</v>
      </c>
      <c r="BZ63" s="19"/>
      <c r="CA63" s="19" t="s">
        <v>66</v>
      </c>
      <c r="CB63" s="409">
        <f t="shared" si="21"/>
        <v>0</v>
      </c>
    </row>
    <row r="64" spans="1:80" ht="15" customHeight="1" outlineLevel="1">
      <c r="A64" s="42">
        <v>9</v>
      </c>
      <c r="B64" s="47" t="s">
        <v>213</v>
      </c>
      <c r="C64" s="670" t="s">
        <v>186</v>
      </c>
      <c r="D64" s="51" t="s">
        <v>211</v>
      </c>
      <c r="E64" s="51" t="s">
        <v>212</v>
      </c>
      <c r="F64" s="51">
        <v>122001224</v>
      </c>
      <c r="G64" s="51" t="s">
        <v>69</v>
      </c>
      <c r="H64" s="694" t="s">
        <v>62</v>
      </c>
      <c r="I64" s="52" t="s">
        <v>63</v>
      </c>
      <c r="J64" s="433">
        <v>58.64</v>
      </c>
      <c r="K64" s="147">
        <f t="shared" si="22"/>
        <v>0</v>
      </c>
      <c r="L64" s="147">
        <f t="shared" si="23"/>
        <v>-58.64</v>
      </c>
      <c r="M64" s="49">
        <v>24</v>
      </c>
      <c r="N64" s="49">
        <v>30</v>
      </c>
      <c r="O64" s="431">
        <v>4</v>
      </c>
      <c r="P64" s="327"/>
      <c r="Q64" s="65"/>
      <c r="R64" s="66">
        <f t="shared" si="18"/>
        <v>0</v>
      </c>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8"/>
      <c r="AT64" s="68"/>
      <c r="AU64" s="407"/>
      <c r="AV64" s="233"/>
      <c r="AW64" s="19"/>
      <c r="AX64" s="19"/>
      <c r="AY64" s="19"/>
      <c r="AZ64" s="19"/>
      <c r="BA64" s="19"/>
      <c r="BB64" s="19"/>
      <c r="BC64" s="19" t="s">
        <v>66</v>
      </c>
      <c r="BD64" s="19" t="s">
        <v>66</v>
      </c>
      <c r="BE64" s="19"/>
      <c r="BF64" s="19"/>
      <c r="BG64" s="19"/>
      <c r="BH64" s="19"/>
      <c r="BI64" s="19"/>
      <c r="BJ64" s="19" t="s">
        <v>66</v>
      </c>
      <c r="BK64" s="19" t="s">
        <v>66</v>
      </c>
      <c r="BL64" s="19"/>
      <c r="BM64" s="19"/>
      <c r="BN64" s="19"/>
      <c r="BO64" s="19"/>
      <c r="BP64" s="19"/>
      <c r="BQ64" s="19" t="s">
        <v>66</v>
      </c>
      <c r="BR64" s="19"/>
      <c r="BS64" s="19"/>
      <c r="BT64" s="19"/>
      <c r="BU64" s="19"/>
      <c r="BV64" s="19"/>
      <c r="BW64" s="19"/>
      <c r="BX64" s="19" t="s">
        <v>66</v>
      </c>
      <c r="BY64" s="19" t="s">
        <v>66</v>
      </c>
      <c r="BZ64" s="19"/>
      <c r="CA64" s="19" t="s">
        <v>66</v>
      </c>
      <c r="CB64" s="409">
        <f t="shared" si="21"/>
        <v>0</v>
      </c>
    </row>
    <row r="65" spans="1:80" ht="15" customHeight="1" outlineLevel="1">
      <c r="A65" s="42">
        <v>10</v>
      </c>
      <c r="B65" s="47" t="s">
        <v>214</v>
      </c>
      <c r="C65" s="670" t="s">
        <v>186</v>
      </c>
      <c r="D65" s="51" t="s">
        <v>215</v>
      </c>
      <c r="E65" s="51" t="s">
        <v>216</v>
      </c>
      <c r="F65" s="51">
        <v>122001322</v>
      </c>
      <c r="G65" s="51" t="s">
        <v>74</v>
      </c>
      <c r="H65" s="694" t="s">
        <v>62</v>
      </c>
      <c r="I65" s="52" t="s">
        <v>63</v>
      </c>
      <c r="J65" s="433">
        <v>307.86</v>
      </c>
      <c r="K65" s="147">
        <f t="shared" si="22"/>
        <v>160</v>
      </c>
      <c r="L65" s="147">
        <f t="shared" si="23"/>
        <v>-147.86000000000001</v>
      </c>
      <c r="M65" s="49">
        <v>1</v>
      </c>
      <c r="N65" s="49">
        <v>30</v>
      </c>
      <c r="O65" s="431">
        <v>21</v>
      </c>
      <c r="P65" s="327" t="s">
        <v>217</v>
      </c>
      <c r="Q65" s="65">
        <v>160</v>
      </c>
      <c r="R65" s="66">
        <v>56</v>
      </c>
      <c r="S65" s="67">
        <v>7</v>
      </c>
      <c r="T65" s="67">
        <v>0</v>
      </c>
      <c r="U65" s="67">
        <v>8</v>
      </c>
      <c r="V65" s="67">
        <v>0</v>
      </c>
      <c r="W65" s="67">
        <v>20</v>
      </c>
      <c r="X65" s="67">
        <v>0</v>
      </c>
      <c r="Y65" s="67">
        <v>2</v>
      </c>
      <c r="Z65" s="67">
        <v>0</v>
      </c>
      <c r="AA65" s="67">
        <v>3</v>
      </c>
      <c r="AB65" s="67">
        <v>0</v>
      </c>
      <c r="AC65" s="67">
        <v>1</v>
      </c>
      <c r="AD65" s="67">
        <v>0</v>
      </c>
      <c r="AE65" s="67">
        <v>4</v>
      </c>
      <c r="AF65" s="67">
        <v>0</v>
      </c>
      <c r="AG65" s="67">
        <v>0</v>
      </c>
      <c r="AH65" s="67">
        <v>0</v>
      </c>
      <c r="AI65" s="67">
        <v>7</v>
      </c>
      <c r="AJ65" s="67">
        <v>0</v>
      </c>
      <c r="AK65" s="67">
        <v>0</v>
      </c>
      <c r="AL65" s="67">
        <v>0</v>
      </c>
      <c r="AM65" s="67">
        <v>4</v>
      </c>
      <c r="AN65" s="67">
        <v>0</v>
      </c>
      <c r="AO65" s="67">
        <v>0</v>
      </c>
      <c r="AP65" s="67">
        <v>0</v>
      </c>
      <c r="AQ65" s="67">
        <v>0</v>
      </c>
      <c r="AR65" s="67">
        <v>0</v>
      </c>
      <c r="AS65" s="68">
        <v>49</v>
      </c>
      <c r="AT65" s="68">
        <v>7</v>
      </c>
      <c r="AU65" s="407"/>
      <c r="AV65" s="233"/>
      <c r="AW65" s="19" t="s">
        <v>65</v>
      </c>
      <c r="AX65" s="19" t="s">
        <v>65</v>
      </c>
      <c r="AY65" s="19" t="s">
        <v>65</v>
      </c>
      <c r="AZ65" s="19" t="s">
        <v>65</v>
      </c>
      <c r="BA65" s="19" t="s">
        <v>65</v>
      </c>
      <c r="BB65" s="19" t="s">
        <v>65</v>
      </c>
      <c r="BC65" s="19" t="s">
        <v>66</v>
      </c>
      <c r="BD65" s="19" t="s">
        <v>66</v>
      </c>
      <c r="BE65" s="19" t="s">
        <v>65</v>
      </c>
      <c r="BF65" s="19" t="s">
        <v>65</v>
      </c>
      <c r="BG65" s="19" t="s">
        <v>65</v>
      </c>
      <c r="BH65" s="19" t="s">
        <v>65</v>
      </c>
      <c r="BI65" s="19" t="s">
        <v>65</v>
      </c>
      <c r="BJ65" s="19" t="s">
        <v>66</v>
      </c>
      <c r="BK65" s="19" t="s">
        <v>66</v>
      </c>
      <c r="BL65" s="19"/>
      <c r="BM65" s="19"/>
      <c r="BN65" s="19"/>
      <c r="BO65" s="19"/>
      <c r="BP65" s="19"/>
      <c r="BQ65" s="19" t="s">
        <v>66</v>
      </c>
      <c r="BR65" s="19"/>
      <c r="BS65" s="19"/>
      <c r="BT65" s="19"/>
      <c r="BU65" s="19"/>
      <c r="BV65" s="19"/>
      <c r="BW65" s="19"/>
      <c r="BX65" s="19" t="s">
        <v>66</v>
      </c>
      <c r="BY65" s="19" t="s">
        <v>66</v>
      </c>
      <c r="BZ65" s="19"/>
      <c r="CA65" s="19" t="s">
        <v>66</v>
      </c>
      <c r="CB65" s="409">
        <f t="shared" si="21"/>
        <v>0</v>
      </c>
    </row>
    <row r="66" spans="1:80" ht="15" customHeight="1" outlineLevel="1">
      <c r="A66" s="42">
        <v>11</v>
      </c>
      <c r="B66" s="47" t="s">
        <v>218</v>
      </c>
      <c r="C66" s="670" t="s">
        <v>76</v>
      </c>
      <c r="D66" s="51" t="s">
        <v>219</v>
      </c>
      <c r="E66" s="51" t="s">
        <v>220</v>
      </c>
      <c r="F66" s="51">
        <v>122001319</v>
      </c>
      <c r="G66" s="51" t="s">
        <v>74</v>
      </c>
      <c r="H66" s="694" t="s">
        <v>62</v>
      </c>
      <c r="I66" s="52" t="s">
        <v>63</v>
      </c>
      <c r="J66" s="430">
        <v>307.86</v>
      </c>
      <c r="K66" s="45">
        <f t="shared" si="22"/>
        <v>245.8</v>
      </c>
      <c r="L66" s="46">
        <f t="shared" si="23"/>
        <v>-62.06</v>
      </c>
      <c r="M66" s="50">
        <v>1</v>
      </c>
      <c r="N66" s="50">
        <v>30</v>
      </c>
      <c r="O66" s="432">
        <v>21</v>
      </c>
      <c r="P66" s="327" t="s">
        <v>64</v>
      </c>
      <c r="Q66" s="65">
        <v>245.8</v>
      </c>
      <c r="R66" s="66">
        <v>42</v>
      </c>
      <c r="S66" s="67">
        <v>5</v>
      </c>
      <c r="T66" s="67">
        <v>0</v>
      </c>
      <c r="U66" s="67">
        <v>9</v>
      </c>
      <c r="V66" s="67">
        <v>0</v>
      </c>
      <c r="W66" s="67">
        <v>12</v>
      </c>
      <c r="X66" s="67">
        <v>0</v>
      </c>
      <c r="Y66" s="67">
        <v>0</v>
      </c>
      <c r="Z66" s="67">
        <v>0</v>
      </c>
      <c r="AA66" s="67">
        <v>12</v>
      </c>
      <c r="AB66" s="67">
        <v>0</v>
      </c>
      <c r="AC66" s="67">
        <v>0</v>
      </c>
      <c r="AD66" s="67">
        <v>0</v>
      </c>
      <c r="AE66" s="67">
        <v>4</v>
      </c>
      <c r="AF66" s="67">
        <v>0</v>
      </c>
      <c r="AG66" s="67">
        <v>0</v>
      </c>
      <c r="AH66" s="67">
        <v>0</v>
      </c>
      <c r="AI66" s="67">
        <v>0</v>
      </c>
      <c r="AJ66" s="67">
        <v>0</v>
      </c>
      <c r="AK66" s="67">
        <v>0</v>
      </c>
      <c r="AL66" s="67">
        <v>0</v>
      </c>
      <c r="AM66" s="67">
        <v>0</v>
      </c>
      <c r="AN66" s="67">
        <v>0</v>
      </c>
      <c r="AO66" s="67">
        <v>0</v>
      </c>
      <c r="AP66" s="67">
        <v>0</v>
      </c>
      <c r="AQ66" s="67">
        <v>0</v>
      </c>
      <c r="AR66" s="67">
        <v>0</v>
      </c>
      <c r="AS66" s="68">
        <v>21</v>
      </c>
      <c r="AT66" s="68">
        <v>21</v>
      </c>
      <c r="AU66" s="407"/>
      <c r="AV66" s="233">
        <v>4.2000000000000003E-2</v>
      </c>
      <c r="AW66" s="19" t="s">
        <v>65</v>
      </c>
      <c r="AX66" s="19" t="s">
        <v>65</v>
      </c>
      <c r="AY66" s="19" t="s">
        <v>65</v>
      </c>
      <c r="AZ66" s="19" t="s">
        <v>65</v>
      </c>
      <c r="BA66" s="19" t="s">
        <v>65</v>
      </c>
      <c r="BB66" s="19" t="s">
        <v>65</v>
      </c>
      <c r="BC66" s="19" t="s">
        <v>66</v>
      </c>
      <c r="BD66" s="19" t="s">
        <v>66</v>
      </c>
      <c r="BE66" s="19" t="s">
        <v>65</v>
      </c>
      <c r="BF66" s="19" t="s">
        <v>65</v>
      </c>
      <c r="BG66" s="19" t="s">
        <v>65</v>
      </c>
      <c r="BH66" s="19" t="s">
        <v>65</v>
      </c>
      <c r="BI66" s="19" t="s">
        <v>65</v>
      </c>
      <c r="BJ66" s="19" t="s">
        <v>66</v>
      </c>
      <c r="BK66" s="19" t="s">
        <v>66</v>
      </c>
      <c r="BL66" s="19" t="s">
        <v>65</v>
      </c>
      <c r="BM66" s="19" t="s">
        <v>65</v>
      </c>
      <c r="BN66" s="19" t="s">
        <v>65</v>
      </c>
      <c r="BO66" s="19" t="s">
        <v>65</v>
      </c>
      <c r="BP66" s="19" t="s">
        <v>65</v>
      </c>
      <c r="BQ66" s="19" t="s">
        <v>66</v>
      </c>
      <c r="BR66" s="19"/>
      <c r="BS66" s="19"/>
      <c r="BT66" s="19"/>
      <c r="BU66" s="19"/>
      <c r="BV66" s="19"/>
      <c r="BW66" s="19"/>
      <c r="BX66" s="19" t="s">
        <v>66</v>
      </c>
      <c r="BY66" s="19" t="s">
        <v>66</v>
      </c>
      <c r="BZ66" s="19"/>
      <c r="CA66" s="19" t="s">
        <v>66</v>
      </c>
      <c r="CB66" s="409">
        <f t="shared" si="21"/>
        <v>0</v>
      </c>
    </row>
    <row r="67" spans="1:80" ht="15" customHeight="1" outlineLevel="1">
      <c r="A67" s="42">
        <v>12</v>
      </c>
      <c r="B67" s="47" t="s">
        <v>221</v>
      </c>
      <c r="C67" s="670" t="s">
        <v>76</v>
      </c>
      <c r="D67" s="51" t="s">
        <v>222</v>
      </c>
      <c r="E67" s="51" t="s">
        <v>220</v>
      </c>
      <c r="F67" s="51">
        <v>122001263</v>
      </c>
      <c r="G67" s="51" t="s">
        <v>87</v>
      </c>
      <c r="H67" s="695" t="s">
        <v>88</v>
      </c>
      <c r="I67" s="44" t="s">
        <v>89</v>
      </c>
      <c r="J67" s="430">
        <v>8</v>
      </c>
      <c r="K67" s="45">
        <f t="shared" ref="K67" si="24">+Q67</f>
        <v>0</v>
      </c>
      <c r="L67" s="46">
        <f t="shared" ref="L67" si="25">+K67-J67</f>
        <v>-8</v>
      </c>
      <c r="M67" s="50">
        <v>27</v>
      </c>
      <c r="N67" s="50">
        <v>27</v>
      </c>
      <c r="O67" s="432">
        <v>0.54570259208731242</v>
      </c>
      <c r="P67" s="327"/>
      <c r="Q67" s="65"/>
      <c r="R67" s="66">
        <f t="shared" si="18"/>
        <v>0</v>
      </c>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8"/>
      <c r="AT67" s="68"/>
      <c r="AU67" s="407"/>
      <c r="AV67" s="233"/>
      <c r="AW67" s="19"/>
      <c r="AX67" s="19"/>
      <c r="AY67" s="19"/>
      <c r="AZ67" s="19"/>
      <c r="BA67" s="19"/>
      <c r="BB67" s="19"/>
      <c r="BC67" s="19" t="s">
        <v>66</v>
      </c>
      <c r="BD67" s="19" t="s">
        <v>66</v>
      </c>
      <c r="BE67" s="19"/>
      <c r="BF67" s="19"/>
      <c r="BG67" s="19"/>
      <c r="BH67" s="19"/>
      <c r="BI67" s="19"/>
      <c r="BJ67" s="19" t="s">
        <v>66</v>
      </c>
      <c r="BK67" s="19" t="s">
        <v>66</v>
      </c>
      <c r="BL67" s="19"/>
      <c r="BM67" s="19"/>
      <c r="BN67" s="19"/>
      <c r="BO67" s="19"/>
      <c r="BP67" s="19"/>
      <c r="BQ67" s="19" t="s">
        <v>66</v>
      </c>
      <c r="BR67" s="19"/>
      <c r="BS67" s="19"/>
      <c r="BT67" s="19"/>
      <c r="BU67" s="19"/>
      <c r="BV67" s="19"/>
      <c r="BW67" s="19"/>
      <c r="BX67" s="19" t="s">
        <v>66</v>
      </c>
      <c r="BY67" s="19" t="s">
        <v>66</v>
      </c>
      <c r="BZ67" s="19"/>
      <c r="CA67" s="19" t="s">
        <v>66</v>
      </c>
      <c r="CB67" s="409">
        <f t="shared" si="21"/>
        <v>0</v>
      </c>
    </row>
    <row r="68" spans="1:80" ht="15" customHeight="1" outlineLevel="1">
      <c r="A68" s="42">
        <v>13</v>
      </c>
      <c r="B68" s="674" t="s">
        <v>223</v>
      </c>
      <c r="C68" s="670" t="s">
        <v>186</v>
      </c>
      <c r="D68" s="51" t="s">
        <v>224</v>
      </c>
      <c r="E68" s="51" t="s">
        <v>192</v>
      </c>
      <c r="F68" s="51">
        <v>122001273</v>
      </c>
      <c r="G68" s="51" t="s">
        <v>87</v>
      </c>
      <c r="H68" s="695" t="s">
        <v>88</v>
      </c>
      <c r="I68" s="44" t="s">
        <v>89</v>
      </c>
      <c r="J68" s="430">
        <v>8</v>
      </c>
      <c r="K68" s="45">
        <f t="shared" ref="K68:K73" si="26">+Q68</f>
        <v>8</v>
      </c>
      <c r="L68" s="46">
        <f t="shared" ref="L68:L73" si="27">+K68-J68</f>
        <v>0</v>
      </c>
      <c r="M68" s="50">
        <v>6</v>
      </c>
      <c r="N68" s="50">
        <v>6</v>
      </c>
      <c r="O68" s="432">
        <v>0.54570259208731242</v>
      </c>
      <c r="P68" s="327">
        <v>6</v>
      </c>
      <c r="Q68" s="65">
        <v>8</v>
      </c>
      <c r="R68" s="66">
        <f t="shared" si="18"/>
        <v>2</v>
      </c>
      <c r="S68" s="67">
        <v>0</v>
      </c>
      <c r="T68" s="67">
        <v>0</v>
      </c>
      <c r="U68" s="67">
        <v>1</v>
      </c>
      <c r="V68" s="67">
        <v>0</v>
      </c>
      <c r="W68" s="67">
        <v>0</v>
      </c>
      <c r="X68" s="67">
        <v>0</v>
      </c>
      <c r="Y68" s="67">
        <v>0</v>
      </c>
      <c r="Z68" s="67">
        <v>0</v>
      </c>
      <c r="AA68" s="67">
        <v>0</v>
      </c>
      <c r="AB68" s="67">
        <v>0</v>
      </c>
      <c r="AC68" s="67">
        <v>0</v>
      </c>
      <c r="AD68" s="67">
        <v>0</v>
      </c>
      <c r="AE68" s="67">
        <v>0</v>
      </c>
      <c r="AF68" s="67">
        <v>0</v>
      </c>
      <c r="AG68" s="67">
        <v>1</v>
      </c>
      <c r="AH68" s="67">
        <v>0</v>
      </c>
      <c r="AI68" s="67">
        <v>0</v>
      </c>
      <c r="AJ68" s="67">
        <v>0</v>
      </c>
      <c r="AK68" s="67">
        <v>0</v>
      </c>
      <c r="AL68" s="67">
        <v>0</v>
      </c>
      <c r="AM68" s="67">
        <v>0</v>
      </c>
      <c r="AN68" s="67">
        <v>0</v>
      </c>
      <c r="AO68" s="67">
        <v>0</v>
      </c>
      <c r="AP68" s="67">
        <v>0</v>
      </c>
      <c r="AQ68" s="67">
        <v>0</v>
      </c>
      <c r="AR68" s="67">
        <v>0</v>
      </c>
      <c r="AS68" s="68">
        <v>1</v>
      </c>
      <c r="AT68" s="68">
        <v>1</v>
      </c>
      <c r="AU68" s="407"/>
      <c r="AV68" s="233"/>
      <c r="AW68" s="19"/>
      <c r="AX68" s="19"/>
      <c r="AY68" s="19"/>
      <c r="AZ68" s="19"/>
      <c r="BA68" s="19"/>
      <c r="BB68" s="19" t="s">
        <v>65</v>
      </c>
      <c r="BC68" s="19" t="s">
        <v>66</v>
      </c>
      <c r="BD68" s="19" t="s">
        <v>66</v>
      </c>
      <c r="BE68" s="19"/>
      <c r="BF68" s="19"/>
      <c r="BG68" s="19"/>
      <c r="BH68" s="19"/>
      <c r="BI68" s="19"/>
      <c r="BJ68" s="19" t="s">
        <v>66</v>
      </c>
      <c r="BK68" s="19" t="s">
        <v>66</v>
      </c>
      <c r="BL68" s="19"/>
      <c r="BM68" s="19"/>
      <c r="BN68" s="19"/>
      <c r="BO68" s="19"/>
      <c r="BP68" s="19"/>
      <c r="BQ68" s="19" t="s">
        <v>66</v>
      </c>
      <c r="BR68" s="19"/>
      <c r="BS68" s="19"/>
      <c r="BT68" s="19"/>
      <c r="BU68" s="19"/>
      <c r="BV68" s="19"/>
      <c r="BW68" s="19"/>
      <c r="BX68" s="19" t="s">
        <v>66</v>
      </c>
      <c r="BY68" s="19" t="s">
        <v>66</v>
      </c>
      <c r="BZ68" s="19"/>
      <c r="CA68" s="19" t="s">
        <v>66</v>
      </c>
      <c r="CB68" s="409">
        <f t="shared" si="21"/>
        <v>0</v>
      </c>
    </row>
    <row r="69" spans="1:80" ht="15" customHeight="1" outlineLevel="1">
      <c r="A69" s="42">
        <v>14</v>
      </c>
      <c r="B69" s="47" t="s">
        <v>225</v>
      </c>
      <c r="C69" s="670" t="s">
        <v>186</v>
      </c>
      <c r="D69" s="51" t="s">
        <v>226</v>
      </c>
      <c r="E69" s="51" t="s">
        <v>192</v>
      </c>
      <c r="F69" s="51">
        <v>122001274</v>
      </c>
      <c r="G69" s="51" t="s">
        <v>87</v>
      </c>
      <c r="H69" s="695" t="s">
        <v>88</v>
      </c>
      <c r="I69" s="44" t="s">
        <v>89</v>
      </c>
      <c r="J69" s="430">
        <v>8</v>
      </c>
      <c r="K69" s="45">
        <f t="shared" si="26"/>
        <v>0</v>
      </c>
      <c r="L69" s="46">
        <f t="shared" si="27"/>
        <v>-8</v>
      </c>
      <c r="M69" s="50">
        <v>13</v>
      </c>
      <c r="N69" s="50">
        <v>13</v>
      </c>
      <c r="O69" s="432">
        <v>0.54570259208731242</v>
      </c>
      <c r="P69" s="653"/>
      <c r="Q69" s="65"/>
      <c r="R69" s="66">
        <f>+S69+U69+W69+Y69+AC69+AE69+AG69+AI69+AK69+AM69+AO69+AQ69+AA69</f>
        <v>0</v>
      </c>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8"/>
      <c r="AT69" s="68"/>
      <c r="AU69" s="407"/>
      <c r="AV69" s="233"/>
      <c r="AW69" s="19"/>
      <c r="AX69" s="19"/>
      <c r="AY69" s="19"/>
      <c r="AZ69" s="19"/>
      <c r="BA69" s="19"/>
      <c r="BB69" s="19"/>
      <c r="BC69" s="19" t="s">
        <v>66</v>
      </c>
      <c r="BD69" s="19" t="s">
        <v>66</v>
      </c>
      <c r="BE69" s="19"/>
      <c r="BF69" s="19"/>
      <c r="BG69" s="19"/>
      <c r="BH69" s="19"/>
      <c r="BI69" s="19"/>
      <c r="BJ69" s="19" t="s">
        <v>66</v>
      </c>
      <c r="BK69" s="19" t="s">
        <v>66</v>
      </c>
      <c r="BL69" s="19"/>
      <c r="BM69" s="19"/>
      <c r="BN69" s="19"/>
      <c r="BO69" s="19"/>
      <c r="BP69" s="19"/>
      <c r="BQ69" s="19" t="s">
        <v>66</v>
      </c>
      <c r="BR69" s="19"/>
      <c r="BS69" s="19"/>
      <c r="BT69" s="19"/>
      <c r="BU69" s="19"/>
      <c r="BV69" s="19"/>
      <c r="BW69" s="19"/>
      <c r="BX69" s="19" t="s">
        <v>66</v>
      </c>
      <c r="BY69" s="19" t="s">
        <v>66</v>
      </c>
      <c r="BZ69" s="19"/>
      <c r="CA69" s="19" t="s">
        <v>66</v>
      </c>
      <c r="CB69" s="409">
        <f t="shared" si="21"/>
        <v>0</v>
      </c>
    </row>
    <row r="70" spans="1:80" ht="15" customHeight="1" outlineLevel="1">
      <c r="A70" s="42">
        <v>15</v>
      </c>
      <c r="B70" s="47" t="s">
        <v>227</v>
      </c>
      <c r="C70" s="670" t="s">
        <v>186</v>
      </c>
      <c r="D70" s="51" t="s">
        <v>228</v>
      </c>
      <c r="E70" s="51" t="s">
        <v>212</v>
      </c>
      <c r="F70" s="51">
        <v>122001242</v>
      </c>
      <c r="G70" s="51" t="s">
        <v>87</v>
      </c>
      <c r="H70" s="695" t="s">
        <v>88</v>
      </c>
      <c r="I70" s="44" t="s">
        <v>89</v>
      </c>
      <c r="J70" s="430">
        <v>8</v>
      </c>
      <c r="K70" s="45">
        <f t="shared" si="26"/>
        <v>16</v>
      </c>
      <c r="L70" s="46">
        <f t="shared" si="27"/>
        <v>8</v>
      </c>
      <c r="M70" s="50">
        <v>12</v>
      </c>
      <c r="N70" s="50">
        <v>12</v>
      </c>
      <c r="O70" s="432">
        <v>0.54570259208731242</v>
      </c>
      <c r="P70" s="327">
        <v>12</v>
      </c>
      <c r="Q70" s="65">
        <v>16</v>
      </c>
      <c r="R70" s="66">
        <f t="shared" si="18"/>
        <v>1</v>
      </c>
      <c r="S70" s="67">
        <v>0</v>
      </c>
      <c r="T70" s="67">
        <v>0</v>
      </c>
      <c r="U70" s="67">
        <v>1</v>
      </c>
      <c r="V70" s="67">
        <v>0</v>
      </c>
      <c r="W70" s="67">
        <v>0</v>
      </c>
      <c r="X70" s="67">
        <v>0</v>
      </c>
      <c r="Y70" s="67">
        <v>0</v>
      </c>
      <c r="Z70" s="67">
        <v>0</v>
      </c>
      <c r="AA70" s="67">
        <v>0</v>
      </c>
      <c r="AB70" s="67">
        <v>0</v>
      </c>
      <c r="AC70" s="67">
        <v>0</v>
      </c>
      <c r="AD70" s="67">
        <v>0</v>
      </c>
      <c r="AE70" s="67">
        <v>0</v>
      </c>
      <c r="AF70" s="67">
        <v>0</v>
      </c>
      <c r="AG70" s="67">
        <v>0</v>
      </c>
      <c r="AH70" s="67">
        <v>0</v>
      </c>
      <c r="AI70" s="67">
        <v>0</v>
      </c>
      <c r="AJ70" s="67">
        <v>0</v>
      </c>
      <c r="AK70" s="67">
        <v>0</v>
      </c>
      <c r="AL70" s="67">
        <v>0</v>
      </c>
      <c r="AM70" s="67">
        <v>0</v>
      </c>
      <c r="AN70" s="67">
        <v>0</v>
      </c>
      <c r="AO70" s="67">
        <v>0</v>
      </c>
      <c r="AP70" s="67">
        <v>0</v>
      </c>
      <c r="AQ70" s="67">
        <v>0</v>
      </c>
      <c r="AR70" s="67">
        <v>0</v>
      </c>
      <c r="AS70" s="68">
        <v>1</v>
      </c>
      <c r="AT70" s="68">
        <v>0</v>
      </c>
      <c r="AU70" s="407"/>
      <c r="AV70" s="233"/>
      <c r="AW70" s="19"/>
      <c r="AX70" s="19"/>
      <c r="AY70" s="19"/>
      <c r="AZ70" s="19"/>
      <c r="BA70" s="19"/>
      <c r="BB70" s="19"/>
      <c r="BC70" s="19" t="s">
        <v>66</v>
      </c>
      <c r="BD70" s="19" t="s">
        <v>66</v>
      </c>
      <c r="BE70" s="19"/>
      <c r="BF70" s="19"/>
      <c r="BG70" s="19"/>
      <c r="BH70" s="19" t="s">
        <v>65</v>
      </c>
      <c r="BI70" s="19"/>
      <c r="BJ70" s="19" t="s">
        <v>66</v>
      </c>
      <c r="BK70" s="19" t="s">
        <v>66</v>
      </c>
      <c r="BL70" s="19"/>
      <c r="BM70" s="19"/>
      <c r="BN70" s="19"/>
      <c r="BO70" s="19"/>
      <c r="BP70" s="19"/>
      <c r="BQ70" s="19" t="s">
        <v>66</v>
      </c>
      <c r="BR70" s="19"/>
      <c r="BS70" s="19"/>
      <c r="BT70" s="19"/>
      <c r="BU70" s="19"/>
      <c r="BV70" s="19"/>
      <c r="BW70" s="19"/>
      <c r="BX70" s="19" t="s">
        <v>66</v>
      </c>
      <c r="BY70" s="19" t="s">
        <v>66</v>
      </c>
      <c r="BZ70" s="19"/>
      <c r="CA70" s="19" t="s">
        <v>66</v>
      </c>
      <c r="CB70" s="409">
        <f t="shared" si="21"/>
        <v>0</v>
      </c>
    </row>
    <row r="71" spans="1:80" ht="15" customHeight="1" outlineLevel="1">
      <c r="A71" s="42">
        <v>16</v>
      </c>
      <c r="B71" s="47" t="s">
        <v>229</v>
      </c>
      <c r="C71" s="670" t="s">
        <v>186</v>
      </c>
      <c r="D71" s="51" t="s">
        <v>230</v>
      </c>
      <c r="E71" s="51" t="s">
        <v>216</v>
      </c>
      <c r="F71" s="51">
        <v>122001188</v>
      </c>
      <c r="G71" s="51" t="s">
        <v>87</v>
      </c>
      <c r="H71" s="695" t="s">
        <v>88</v>
      </c>
      <c r="I71" s="44" t="s">
        <v>89</v>
      </c>
      <c r="J71" s="430">
        <v>14</v>
      </c>
      <c r="K71" s="45">
        <f t="shared" si="26"/>
        <v>16</v>
      </c>
      <c r="L71" s="46">
        <f t="shared" si="27"/>
        <v>2</v>
      </c>
      <c r="M71" s="50">
        <v>19</v>
      </c>
      <c r="N71" s="50">
        <v>19</v>
      </c>
      <c r="O71" s="432">
        <v>0.95497953615279674</v>
      </c>
      <c r="P71" s="327">
        <v>19</v>
      </c>
      <c r="Q71" s="65">
        <v>16</v>
      </c>
      <c r="R71" s="66">
        <f>+S71+U71+W71+Y71+AC71+AE71+AG71+AI71+AK71+AM71+AO71+AQ71+AA71</f>
        <v>1</v>
      </c>
      <c r="S71" s="67">
        <v>0</v>
      </c>
      <c r="T71" s="67">
        <v>0</v>
      </c>
      <c r="U71" s="67">
        <v>0</v>
      </c>
      <c r="V71" s="67">
        <v>0</v>
      </c>
      <c r="W71" s="67">
        <v>0</v>
      </c>
      <c r="X71" s="67">
        <v>0</v>
      </c>
      <c r="Y71" s="67">
        <v>0</v>
      </c>
      <c r="Z71" s="67">
        <v>0</v>
      </c>
      <c r="AA71" s="67">
        <v>0</v>
      </c>
      <c r="AB71" s="67">
        <v>0</v>
      </c>
      <c r="AC71" s="67">
        <v>0</v>
      </c>
      <c r="AD71" s="67">
        <v>0</v>
      </c>
      <c r="AE71" s="67">
        <v>0</v>
      </c>
      <c r="AF71" s="67">
        <v>0</v>
      </c>
      <c r="AG71" s="67">
        <v>0</v>
      </c>
      <c r="AH71" s="67">
        <v>0</v>
      </c>
      <c r="AI71" s="67">
        <v>1</v>
      </c>
      <c r="AJ71" s="67">
        <v>0</v>
      </c>
      <c r="AK71" s="67">
        <v>0</v>
      </c>
      <c r="AL71" s="67">
        <v>0</v>
      </c>
      <c r="AM71" s="67">
        <v>0</v>
      </c>
      <c r="AN71" s="67">
        <v>0</v>
      </c>
      <c r="AO71" s="67">
        <v>0</v>
      </c>
      <c r="AP71" s="67">
        <v>0</v>
      </c>
      <c r="AQ71" s="67">
        <v>0</v>
      </c>
      <c r="AR71" s="67">
        <v>0</v>
      </c>
      <c r="AS71" s="68">
        <v>1</v>
      </c>
      <c r="AT71" s="68">
        <v>0</v>
      </c>
      <c r="AU71" s="407"/>
      <c r="AV71" s="233"/>
      <c r="AW71" s="19"/>
      <c r="AX71" s="19"/>
      <c r="AY71" s="19"/>
      <c r="AZ71" s="19"/>
      <c r="BA71" s="19"/>
      <c r="BB71" s="19"/>
      <c r="BC71" s="19" t="s">
        <v>66</v>
      </c>
      <c r="BD71" s="19" t="s">
        <v>66</v>
      </c>
      <c r="BE71" s="19"/>
      <c r="BF71" s="19"/>
      <c r="BG71" s="19"/>
      <c r="BH71" s="19"/>
      <c r="BI71" s="19"/>
      <c r="BJ71" s="19" t="s">
        <v>66</v>
      </c>
      <c r="BK71" s="19" t="s">
        <v>66</v>
      </c>
      <c r="BL71" s="19"/>
      <c r="BM71" s="19"/>
      <c r="BN71" s="19"/>
      <c r="BO71" s="19" t="s">
        <v>65</v>
      </c>
      <c r="BP71" s="19"/>
      <c r="BQ71" s="19" t="s">
        <v>66</v>
      </c>
      <c r="BR71" s="19"/>
      <c r="BS71" s="19"/>
      <c r="BT71" s="19"/>
      <c r="BU71" s="19"/>
      <c r="BV71" s="19"/>
      <c r="BW71" s="19"/>
      <c r="BX71" s="19" t="s">
        <v>66</v>
      </c>
      <c r="BY71" s="19" t="s">
        <v>66</v>
      </c>
      <c r="BZ71" s="19"/>
      <c r="CA71" s="19" t="s">
        <v>66</v>
      </c>
      <c r="CB71" s="409">
        <f t="shared" si="21"/>
        <v>0</v>
      </c>
    </row>
    <row r="72" spans="1:80" ht="15" customHeight="1" outlineLevel="1">
      <c r="A72" s="42">
        <v>17</v>
      </c>
      <c r="B72" s="674" t="s">
        <v>231</v>
      </c>
      <c r="C72" s="670" t="s">
        <v>186</v>
      </c>
      <c r="D72" s="51" t="s">
        <v>232</v>
      </c>
      <c r="E72" s="51" t="s">
        <v>188</v>
      </c>
      <c r="F72" s="51">
        <v>122001311</v>
      </c>
      <c r="G72" s="51" t="s">
        <v>79</v>
      </c>
      <c r="H72" s="695" t="s">
        <v>88</v>
      </c>
      <c r="I72" s="44" t="s">
        <v>89</v>
      </c>
      <c r="J72" s="430">
        <v>102</v>
      </c>
      <c r="K72" s="45">
        <f t="shared" si="26"/>
        <v>152</v>
      </c>
      <c r="L72" s="46">
        <f t="shared" si="27"/>
        <v>50</v>
      </c>
      <c r="M72" s="50">
        <v>1</v>
      </c>
      <c r="N72" s="50">
        <v>10</v>
      </c>
      <c r="O72" s="432">
        <v>6.9577080491132328</v>
      </c>
      <c r="P72" s="327" t="s">
        <v>233</v>
      </c>
      <c r="Q72" s="65">
        <v>152</v>
      </c>
      <c r="R72" s="66">
        <f t="shared" ref="R72:R90" si="28">+S72+U72+W72+Y72+AC72+AE72+AG72+AI72+AK72+AM72+AO72+AQ72+AA72</f>
        <v>50</v>
      </c>
      <c r="S72" s="67">
        <v>0</v>
      </c>
      <c r="T72" s="67">
        <v>0</v>
      </c>
      <c r="U72" s="67">
        <v>5</v>
      </c>
      <c r="V72" s="67">
        <v>0</v>
      </c>
      <c r="W72" s="67">
        <v>34</v>
      </c>
      <c r="X72" s="67">
        <v>0</v>
      </c>
      <c r="Y72" s="67">
        <v>1</v>
      </c>
      <c r="Z72" s="67">
        <v>0</v>
      </c>
      <c r="AA72" s="67">
        <v>0</v>
      </c>
      <c r="AB72" s="67">
        <v>0</v>
      </c>
      <c r="AC72" s="67">
        <v>0</v>
      </c>
      <c r="AD72" s="67">
        <v>0</v>
      </c>
      <c r="AE72" s="67">
        <v>0</v>
      </c>
      <c r="AF72" s="67">
        <v>0</v>
      </c>
      <c r="AG72" s="67">
        <v>0</v>
      </c>
      <c r="AH72" s="67">
        <v>0</v>
      </c>
      <c r="AI72" s="67">
        <v>5</v>
      </c>
      <c r="AJ72" s="67">
        <v>0</v>
      </c>
      <c r="AK72" s="67">
        <v>0</v>
      </c>
      <c r="AL72" s="67">
        <v>0</v>
      </c>
      <c r="AM72" s="67">
        <v>5</v>
      </c>
      <c r="AN72" s="67">
        <v>0</v>
      </c>
      <c r="AO72" s="67">
        <v>0</v>
      </c>
      <c r="AP72" s="67">
        <v>0</v>
      </c>
      <c r="AQ72" s="67">
        <v>0</v>
      </c>
      <c r="AR72" s="67">
        <v>0</v>
      </c>
      <c r="AS72" s="68">
        <v>12</v>
      </c>
      <c r="AT72" s="68">
        <v>38</v>
      </c>
      <c r="AU72" s="407"/>
      <c r="AV72" s="233"/>
      <c r="AW72" s="19" t="s">
        <v>65</v>
      </c>
      <c r="AX72" s="19" t="s">
        <v>65</v>
      </c>
      <c r="AY72" s="19" t="s">
        <v>65</v>
      </c>
      <c r="AZ72" s="19" t="s">
        <v>65</v>
      </c>
      <c r="BA72" s="19" t="s">
        <v>65</v>
      </c>
      <c r="BB72" s="19"/>
      <c r="BC72" s="19" t="s">
        <v>66</v>
      </c>
      <c r="BD72" s="19" t="s">
        <v>66</v>
      </c>
      <c r="BE72" s="19" t="s">
        <v>65</v>
      </c>
      <c r="BF72" s="19" t="s">
        <v>65</v>
      </c>
      <c r="BG72" s="19"/>
      <c r="BH72" s="19"/>
      <c r="BI72" s="19"/>
      <c r="BJ72" s="19" t="s">
        <v>66</v>
      </c>
      <c r="BK72" s="19" t="s">
        <v>66</v>
      </c>
      <c r="BL72" s="19"/>
      <c r="BM72" s="19"/>
      <c r="BN72" s="19"/>
      <c r="BO72" s="19"/>
      <c r="BP72" s="19"/>
      <c r="BQ72" s="19" t="s">
        <v>66</v>
      </c>
      <c r="BR72" s="19"/>
      <c r="BS72" s="19"/>
      <c r="BT72" s="19"/>
      <c r="BU72" s="19"/>
      <c r="BV72" s="19"/>
      <c r="BW72" s="19"/>
      <c r="BX72" s="19" t="s">
        <v>66</v>
      </c>
      <c r="BY72" s="19" t="s">
        <v>66</v>
      </c>
      <c r="BZ72" s="19"/>
      <c r="CA72" s="19" t="s">
        <v>66</v>
      </c>
      <c r="CB72" s="409">
        <f t="shared" si="21"/>
        <v>0</v>
      </c>
    </row>
    <row r="73" spans="1:80" ht="15" customHeight="1" outlineLevel="1">
      <c r="A73" s="42">
        <v>18</v>
      </c>
      <c r="B73" s="47" t="s">
        <v>234</v>
      </c>
      <c r="C73" s="670" t="s">
        <v>186</v>
      </c>
      <c r="D73" s="51" t="s">
        <v>235</v>
      </c>
      <c r="E73" s="51" t="s">
        <v>188</v>
      </c>
      <c r="F73" s="51">
        <v>122001228</v>
      </c>
      <c r="G73" s="51" t="s">
        <v>69</v>
      </c>
      <c r="H73" s="695" t="s">
        <v>88</v>
      </c>
      <c r="I73" s="44" t="s">
        <v>89</v>
      </c>
      <c r="J73" s="430">
        <v>15</v>
      </c>
      <c r="K73" s="45">
        <f t="shared" si="26"/>
        <v>16</v>
      </c>
      <c r="L73" s="46">
        <f t="shared" si="27"/>
        <v>1</v>
      </c>
      <c r="M73" s="50">
        <v>11</v>
      </c>
      <c r="N73" s="50">
        <v>11</v>
      </c>
      <c r="O73" s="432">
        <v>1.0231923601637107</v>
      </c>
      <c r="P73" s="327">
        <v>11</v>
      </c>
      <c r="Q73" s="65">
        <v>16</v>
      </c>
      <c r="R73" s="66">
        <f>+S73+U73+W73+Y73+AC73+AE73+AG73+AI73+AK73+AM73+AO73+AQ73+AA73</f>
        <v>4</v>
      </c>
      <c r="S73" s="67">
        <v>0</v>
      </c>
      <c r="T73" s="67">
        <v>0</v>
      </c>
      <c r="U73" s="67">
        <v>1</v>
      </c>
      <c r="V73" s="67">
        <v>0</v>
      </c>
      <c r="W73" s="67">
        <v>0</v>
      </c>
      <c r="X73" s="67">
        <v>0</v>
      </c>
      <c r="Y73" s="67">
        <v>0</v>
      </c>
      <c r="Z73" s="67">
        <v>0</v>
      </c>
      <c r="AA73" s="67">
        <v>0</v>
      </c>
      <c r="AB73" s="67">
        <v>0</v>
      </c>
      <c r="AC73" s="67">
        <v>0</v>
      </c>
      <c r="AD73" s="67">
        <v>0</v>
      </c>
      <c r="AE73" s="67">
        <v>0</v>
      </c>
      <c r="AF73" s="67">
        <v>0</v>
      </c>
      <c r="AG73" s="67">
        <v>0</v>
      </c>
      <c r="AH73" s="67">
        <v>0</v>
      </c>
      <c r="AI73" s="67">
        <v>1</v>
      </c>
      <c r="AJ73" s="67">
        <v>0</v>
      </c>
      <c r="AK73" s="67">
        <v>0</v>
      </c>
      <c r="AL73" s="67">
        <v>0</v>
      </c>
      <c r="AM73" s="67">
        <v>2</v>
      </c>
      <c r="AN73" s="67">
        <v>0</v>
      </c>
      <c r="AO73" s="67">
        <v>0</v>
      </c>
      <c r="AP73" s="67">
        <v>0</v>
      </c>
      <c r="AQ73" s="67">
        <v>0</v>
      </c>
      <c r="AR73" s="67">
        <v>0</v>
      </c>
      <c r="AS73" s="68">
        <v>1</v>
      </c>
      <c r="AT73" s="68">
        <v>3</v>
      </c>
      <c r="AU73" s="407"/>
      <c r="AV73" s="233"/>
      <c r="AW73" s="19"/>
      <c r="AX73" s="19"/>
      <c r="AY73" s="19"/>
      <c r="AZ73" s="19"/>
      <c r="BA73" s="19"/>
      <c r="BB73" s="19"/>
      <c r="BC73" s="19" t="s">
        <v>66</v>
      </c>
      <c r="BD73" s="19" t="s">
        <v>66</v>
      </c>
      <c r="BE73" s="19"/>
      <c r="BF73" s="19"/>
      <c r="BG73" s="19" t="s">
        <v>65</v>
      </c>
      <c r="BH73" s="19"/>
      <c r="BI73" s="19"/>
      <c r="BJ73" s="19" t="s">
        <v>66</v>
      </c>
      <c r="BK73" s="19" t="s">
        <v>66</v>
      </c>
      <c r="BL73" s="19"/>
      <c r="BM73" s="19"/>
      <c r="BN73" s="19"/>
      <c r="BO73" s="19"/>
      <c r="BP73" s="19"/>
      <c r="BQ73" s="19" t="s">
        <v>66</v>
      </c>
      <c r="BR73" s="19"/>
      <c r="BS73" s="19"/>
      <c r="BT73" s="19"/>
      <c r="BU73" s="19"/>
      <c r="BV73" s="19"/>
      <c r="BW73" s="19"/>
      <c r="BX73" s="19" t="s">
        <v>66</v>
      </c>
      <c r="BY73" s="19" t="s">
        <v>66</v>
      </c>
      <c r="BZ73" s="19"/>
      <c r="CA73" s="19" t="s">
        <v>66</v>
      </c>
      <c r="CB73" s="409">
        <f t="shared" si="21"/>
        <v>0</v>
      </c>
    </row>
    <row r="74" spans="1:80" ht="15" customHeight="1" outlineLevel="1">
      <c r="A74" s="42">
        <v>19</v>
      </c>
      <c r="B74" s="47" t="s">
        <v>236</v>
      </c>
      <c r="C74" s="670" t="s">
        <v>186</v>
      </c>
      <c r="D74" s="51" t="s">
        <v>202</v>
      </c>
      <c r="E74" s="51" t="s">
        <v>188</v>
      </c>
      <c r="F74" s="51">
        <v>122001328</v>
      </c>
      <c r="G74" s="51" t="s">
        <v>69</v>
      </c>
      <c r="H74" s="695" t="s">
        <v>88</v>
      </c>
      <c r="I74" s="44" t="s">
        <v>89</v>
      </c>
      <c r="J74" s="430">
        <v>58</v>
      </c>
      <c r="K74" s="45">
        <f t="shared" ref="K74" si="29">+Q74</f>
        <v>64</v>
      </c>
      <c r="L74" s="46">
        <f t="shared" ref="L74" si="30">+K74-J74</f>
        <v>6</v>
      </c>
      <c r="M74" s="50">
        <v>16</v>
      </c>
      <c r="N74" s="50">
        <v>19</v>
      </c>
      <c r="O74" s="432">
        <v>3.9563437926330152</v>
      </c>
      <c r="P74" s="327" t="s">
        <v>237</v>
      </c>
      <c r="Q74" s="65">
        <v>64</v>
      </c>
      <c r="R74" s="66">
        <v>8</v>
      </c>
      <c r="S74" s="67">
        <v>0</v>
      </c>
      <c r="T74" s="67">
        <v>0</v>
      </c>
      <c r="U74" s="67">
        <v>1</v>
      </c>
      <c r="V74" s="67">
        <v>0</v>
      </c>
      <c r="W74" s="67">
        <v>2</v>
      </c>
      <c r="X74" s="67">
        <v>0</v>
      </c>
      <c r="Y74" s="67">
        <v>0</v>
      </c>
      <c r="Z74" s="67">
        <v>0</v>
      </c>
      <c r="AA74" s="67">
        <v>0</v>
      </c>
      <c r="AB74" s="67">
        <v>0</v>
      </c>
      <c r="AC74" s="67">
        <v>1</v>
      </c>
      <c r="AD74" s="67">
        <v>0</v>
      </c>
      <c r="AE74" s="67">
        <v>1</v>
      </c>
      <c r="AF74" s="67">
        <v>0</v>
      </c>
      <c r="AG74" s="67">
        <v>1</v>
      </c>
      <c r="AH74" s="67">
        <v>0</v>
      </c>
      <c r="AI74" s="67">
        <v>1</v>
      </c>
      <c r="AJ74" s="67">
        <v>0</v>
      </c>
      <c r="AK74" s="67">
        <v>0</v>
      </c>
      <c r="AL74" s="67">
        <v>0</v>
      </c>
      <c r="AM74" s="67">
        <v>1</v>
      </c>
      <c r="AN74" s="67">
        <v>0</v>
      </c>
      <c r="AO74" s="67">
        <v>0</v>
      </c>
      <c r="AP74" s="67">
        <v>0</v>
      </c>
      <c r="AQ74" s="67">
        <v>0</v>
      </c>
      <c r="AR74" s="67">
        <v>0</v>
      </c>
      <c r="AS74" s="68">
        <v>5</v>
      </c>
      <c r="AT74" s="68">
        <v>3</v>
      </c>
      <c r="AU74" s="407"/>
      <c r="AV74" s="233"/>
      <c r="AW74" s="19"/>
      <c r="AX74" s="19"/>
      <c r="AY74" s="19"/>
      <c r="AZ74" s="19"/>
      <c r="BA74" s="19"/>
      <c r="BB74" s="19"/>
      <c r="BC74" s="19" t="s">
        <v>66</v>
      </c>
      <c r="BD74" s="19" t="s">
        <v>66</v>
      </c>
      <c r="BE74" s="19"/>
      <c r="BF74" s="19"/>
      <c r="BG74" s="19"/>
      <c r="BH74" s="19"/>
      <c r="BI74" s="19"/>
      <c r="BJ74" s="19" t="s">
        <v>66</v>
      </c>
      <c r="BK74" s="19" t="s">
        <v>66</v>
      </c>
      <c r="BL74" s="19" t="s">
        <v>65</v>
      </c>
      <c r="BM74" s="19" t="s">
        <v>65</v>
      </c>
      <c r="BN74" s="19" t="s">
        <v>65</v>
      </c>
      <c r="BO74" s="19" t="s">
        <v>65</v>
      </c>
      <c r="BP74" s="19"/>
      <c r="BQ74" s="19" t="s">
        <v>66</v>
      </c>
      <c r="BR74" s="19"/>
      <c r="BS74" s="19"/>
      <c r="BT74" s="19"/>
      <c r="BU74" s="19"/>
      <c r="BV74" s="19"/>
      <c r="BW74" s="19"/>
      <c r="BX74" s="19" t="s">
        <v>66</v>
      </c>
      <c r="BY74" s="19" t="s">
        <v>66</v>
      </c>
      <c r="BZ74" s="19"/>
      <c r="CA74" s="19" t="s">
        <v>66</v>
      </c>
      <c r="CB74" s="409"/>
    </row>
    <row r="75" spans="1:80" ht="15" customHeight="1" outlineLevel="1">
      <c r="A75" s="42">
        <v>20</v>
      </c>
      <c r="B75" s="47" t="s">
        <v>238</v>
      </c>
      <c r="C75" s="670" t="s">
        <v>186</v>
      </c>
      <c r="D75" s="51" t="s">
        <v>202</v>
      </c>
      <c r="E75" s="51" t="s">
        <v>212</v>
      </c>
      <c r="F75" s="51">
        <v>122001329</v>
      </c>
      <c r="G75" s="51" t="s">
        <v>203</v>
      </c>
      <c r="H75" s="695" t="s">
        <v>88</v>
      </c>
      <c r="I75" s="44" t="s">
        <v>106</v>
      </c>
      <c r="J75" s="430">
        <v>14</v>
      </c>
      <c r="K75" s="45">
        <f t="shared" ref="K75:K76" si="31">+Q75</f>
        <v>0</v>
      </c>
      <c r="L75" s="46">
        <f t="shared" ref="L75:L76" si="32">+K75-J75</f>
        <v>-14</v>
      </c>
      <c r="M75" s="50">
        <v>17</v>
      </c>
      <c r="N75" s="50">
        <v>17</v>
      </c>
      <c r="O75" s="432">
        <v>0.95497953615279674</v>
      </c>
      <c r="P75" s="653"/>
      <c r="Q75" s="65"/>
      <c r="R75" s="66">
        <f t="shared" ref="R74:R90" si="33">+S75+U75+W75+Y75+AC75+AE75+AG75+AI75+AK75+AM75+AO75+AQ75+AA75</f>
        <v>0</v>
      </c>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8"/>
      <c r="AT75" s="68"/>
      <c r="AU75" s="407"/>
      <c r="AV75" s="233"/>
      <c r="AW75" s="19"/>
      <c r="AX75" s="19"/>
      <c r="AY75" s="19"/>
      <c r="AZ75" s="19"/>
      <c r="BA75" s="19"/>
      <c r="BB75" s="19"/>
      <c r="BC75" s="19" t="s">
        <v>66</v>
      </c>
      <c r="BD75" s="19" t="s">
        <v>66</v>
      </c>
      <c r="BE75" s="19"/>
      <c r="BF75" s="19"/>
      <c r="BG75" s="19"/>
      <c r="BH75" s="19"/>
      <c r="BI75" s="19"/>
      <c r="BJ75" s="19" t="s">
        <v>66</v>
      </c>
      <c r="BK75" s="19" t="s">
        <v>66</v>
      </c>
      <c r="BL75" s="19"/>
      <c r="BM75" s="19"/>
      <c r="BN75" s="19"/>
      <c r="BO75" s="19"/>
      <c r="BP75" s="19"/>
      <c r="BQ75" s="19" t="s">
        <v>66</v>
      </c>
      <c r="BR75" s="19"/>
      <c r="BS75" s="19"/>
      <c r="BT75" s="19"/>
      <c r="BU75" s="19"/>
      <c r="BV75" s="19"/>
      <c r="BW75" s="19"/>
      <c r="BX75" s="19" t="s">
        <v>66</v>
      </c>
      <c r="BY75" s="19" t="s">
        <v>66</v>
      </c>
      <c r="BZ75" s="19"/>
      <c r="CA75" s="19" t="s">
        <v>66</v>
      </c>
      <c r="CB75" s="409"/>
    </row>
    <row r="76" spans="1:80" ht="15" customHeight="1" outlineLevel="1">
      <c r="A76" s="42">
        <v>21</v>
      </c>
      <c r="B76" s="47" t="s">
        <v>239</v>
      </c>
      <c r="C76" s="670" t="s">
        <v>186</v>
      </c>
      <c r="D76" s="51" t="s">
        <v>240</v>
      </c>
      <c r="E76" s="51" t="s">
        <v>212</v>
      </c>
      <c r="F76" s="51">
        <v>122001209</v>
      </c>
      <c r="G76" s="51" t="s">
        <v>69</v>
      </c>
      <c r="H76" s="695" t="s">
        <v>88</v>
      </c>
      <c r="I76" s="44" t="s">
        <v>106</v>
      </c>
      <c r="J76" s="430">
        <v>14</v>
      </c>
      <c r="K76" s="45">
        <f t="shared" si="31"/>
        <v>0</v>
      </c>
      <c r="L76" s="46">
        <f t="shared" si="32"/>
        <v>-14</v>
      </c>
      <c r="M76" s="50">
        <v>16</v>
      </c>
      <c r="N76" s="50">
        <v>16</v>
      </c>
      <c r="O76" s="432">
        <v>0.95497953615279674</v>
      </c>
      <c r="P76" s="653"/>
      <c r="Q76" s="65"/>
      <c r="R76" s="66">
        <f t="shared" si="33"/>
        <v>0</v>
      </c>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8"/>
      <c r="AT76" s="68"/>
      <c r="AU76" s="407"/>
      <c r="AV76" s="233"/>
      <c r="AW76" s="19"/>
      <c r="AX76" s="19"/>
      <c r="AY76" s="19"/>
      <c r="AZ76" s="19"/>
      <c r="BA76" s="19"/>
      <c r="BB76" s="19"/>
      <c r="BC76" s="19" t="s">
        <v>66</v>
      </c>
      <c r="BD76" s="19" t="s">
        <v>66</v>
      </c>
      <c r="BE76" s="19"/>
      <c r="BF76" s="19"/>
      <c r="BG76" s="19"/>
      <c r="BH76" s="19"/>
      <c r="BI76" s="19"/>
      <c r="BJ76" s="19" t="s">
        <v>66</v>
      </c>
      <c r="BK76" s="19" t="s">
        <v>66</v>
      </c>
      <c r="BL76" s="19"/>
      <c r="BM76" s="19"/>
      <c r="BN76" s="19"/>
      <c r="BO76" s="19"/>
      <c r="BP76" s="19"/>
      <c r="BQ76" s="19" t="s">
        <v>66</v>
      </c>
      <c r="BR76" s="19"/>
      <c r="BS76" s="19"/>
      <c r="BT76" s="19"/>
      <c r="BU76" s="19"/>
      <c r="BV76" s="19"/>
      <c r="BW76" s="19"/>
      <c r="BX76" s="19" t="s">
        <v>66</v>
      </c>
      <c r="BY76" s="19" t="s">
        <v>66</v>
      </c>
      <c r="BZ76" s="19"/>
      <c r="CA76" s="19" t="s">
        <v>66</v>
      </c>
      <c r="CB76" s="409"/>
    </row>
    <row r="77" spans="1:80" ht="15" customHeight="1" outlineLevel="1">
      <c r="A77" s="42">
        <v>22</v>
      </c>
      <c r="B77" s="47" t="s">
        <v>241</v>
      </c>
      <c r="C77" s="670" t="s">
        <v>186</v>
      </c>
      <c r="D77" s="51" t="s">
        <v>242</v>
      </c>
      <c r="E77" s="51" t="s">
        <v>212</v>
      </c>
      <c r="F77" s="51">
        <v>122001189</v>
      </c>
      <c r="G77" s="51" t="s">
        <v>61</v>
      </c>
      <c r="H77" s="695" t="s">
        <v>88</v>
      </c>
      <c r="I77" s="44" t="s">
        <v>106</v>
      </c>
      <c r="J77" s="430">
        <v>14</v>
      </c>
      <c r="K77" s="45">
        <f t="shared" ref="K77:K90" si="34">+Q77</f>
        <v>0</v>
      </c>
      <c r="L77" s="46">
        <f t="shared" ref="L77:L90" si="35">+K77-J77</f>
        <v>-14</v>
      </c>
      <c r="M77" s="50">
        <v>12</v>
      </c>
      <c r="N77" s="50">
        <v>12</v>
      </c>
      <c r="O77" s="432">
        <v>0.95497953615279674</v>
      </c>
      <c r="P77" s="653"/>
      <c r="Q77" s="65"/>
      <c r="R77" s="66">
        <f t="shared" si="33"/>
        <v>0</v>
      </c>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8"/>
      <c r="AT77" s="68"/>
      <c r="AU77" s="407"/>
      <c r="AV77" s="233"/>
      <c r="AW77" s="19"/>
      <c r="AX77" s="19"/>
      <c r="AY77" s="19"/>
      <c r="AZ77" s="19"/>
      <c r="BA77" s="19"/>
      <c r="BB77" s="19"/>
      <c r="BC77" s="19" t="s">
        <v>66</v>
      </c>
      <c r="BD77" s="19" t="s">
        <v>66</v>
      </c>
      <c r="BE77" s="19"/>
      <c r="BF77" s="19"/>
      <c r="BG77" s="19"/>
      <c r="BH77" s="19"/>
      <c r="BI77" s="19"/>
      <c r="BJ77" s="19" t="s">
        <v>66</v>
      </c>
      <c r="BK77" s="19" t="s">
        <v>66</v>
      </c>
      <c r="BL77" s="19"/>
      <c r="BM77" s="19"/>
      <c r="BN77" s="19"/>
      <c r="BO77" s="19"/>
      <c r="BP77" s="19"/>
      <c r="BQ77" s="19" t="s">
        <v>66</v>
      </c>
      <c r="BR77" s="19"/>
      <c r="BS77" s="19"/>
      <c r="BT77" s="19"/>
      <c r="BU77" s="19"/>
      <c r="BV77" s="19"/>
      <c r="BW77" s="19"/>
      <c r="BX77" s="19" t="s">
        <v>66</v>
      </c>
      <c r="BY77" s="19" t="s">
        <v>66</v>
      </c>
      <c r="BZ77" s="19"/>
      <c r="CA77" s="19" t="s">
        <v>66</v>
      </c>
      <c r="CB77" s="409">
        <f>IF(AU77="OK",1,0)</f>
        <v>0</v>
      </c>
    </row>
    <row r="78" spans="1:80" ht="15" customHeight="1" outlineLevel="1">
      <c r="A78" s="42">
        <v>23</v>
      </c>
      <c r="B78" s="47" t="s">
        <v>243</v>
      </c>
      <c r="C78" s="670" t="s">
        <v>186</v>
      </c>
      <c r="D78" s="51" t="s">
        <v>244</v>
      </c>
      <c r="E78" s="51" t="s">
        <v>212</v>
      </c>
      <c r="F78" s="51">
        <v>122001307</v>
      </c>
      <c r="G78" s="51" t="s">
        <v>245</v>
      </c>
      <c r="H78" s="695" t="s">
        <v>88</v>
      </c>
      <c r="I78" s="44" t="s">
        <v>106</v>
      </c>
      <c r="J78" s="430">
        <v>88</v>
      </c>
      <c r="K78" s="45">
        <f t="shared" si="34"/>
        <v>0</v>
      </c>
      <c r="L78" s="46">
        <f t="shared" si="35"/>
        <v>-88</v>
      </c>
      <c r="M78" s="50">
        <v>19</v>
      </c>
      <c r="N78" s="50">
        <v>26</v>
      </c>
      <c r="O78" s="432">
        <v>6.0027285129604362</v>
      </c>
      <c r="P78" s="327"/>
      <c r="Q78" s="65"/>
      <c r="R78" s="66">
        <f t="shared" si="33"/>
        <v>0</v>
      </c>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8"/>
      <c r="AT78" s="68"/>
      <c r="AU78" s="407"/>
      <c r="AV78" s="233"/>
      <c r="AW78" s="19"/>
      <c r="AX78" s="19"/>
      <c r="AY78" s="19"/>
      <c r="AZ78" s="19"/>
      <c r="BA78" s="19"/>
      <c r="BB78" s="19"/>
      <c r="BC78" s="19" t="s">
        <v>66</v>
      </c>
      <c r="BD78" s="19" t="s">
        <v>66</v>
      </c>
      <c r="BE78" s="19"/>
      <c r="BF78" s="19"/>
      <c r="BG78" s="19"/>
      <c r="BH78" s="19"/>
      <c r="BI78" s="19"/>
      <c r="BJ78" s="19" t="s">
        <v>66</v>
      </c>
      <c r="BK78" s="19" t="s">
        <v>66</v>
      </c>
      <c r="BL78" s="19"/>
      <c r="BM78" s="19"/>
      <c r="BN78" s="19"/>
      <c r="BO78" s="19"/>
      <c r="BP78" s="19"/>
      <c r="BQ78" s="19" t="s">
        <v>66</v>
      </c>
      <c r="BR78" s="19"/>
      <c r="BS78" s="19"/>
      <c r="BT78" s="19"/>
      <c r="BU78" s="19"/>
      <c r="BV78" s="19"/>
      <c r="BW78" s="19"/>
      <c r="BX78" s="19" t="s">
        <v>66</v>
      </c>
      <c r="BY78" s="19" t="s">
        <v>66</v>
      </c>
      <c r="BZ78" s="19"/>
      <c r="CA78" s="19" t="s">
        <v>66</v>
      </c>
      <c r="CB78" s="409">
        <f t="shared" si="21"/>
        <v>0</v>
      </c>
    </row>
    <row r="79" spans="1:80" ht="15" customHeight="1" outlineLevel="1">
      <c r="A79" s="42">
        <v>24</v>
      </c>
      <c r="B79" s="47" t="s">
        <v>246</v>
      </c>
      <c r="C79" s="670" t="s">
        <v>186</v>
      </c>
      <c r="D79" s="51" t="s">
        <v>247</v>
      </c>
      <c r="E79" s="51" t="s">
        <v>212</v>
      </c>
      <c r="F79" s="51">
        <v>122001321</v>
      </c>
      <c r="G79" s="51" t="s">
        <v>74</v>
      </c>
      <c r="H79" s="695" t="s">
        <v>88</v>
      </c>
      <c r="I79" s="44" t="s">
        <v>106</v>
      </c>
      <c r="J79" s="430">
        <v>124</v>
      </c>
      <c r="K79" s="45">
        <f>+Q79</f>
        <v>184</v>
      </c>
      <c r="L79" s="46">
        <f t="shared" si="35"/>
        <v>60</v>
      </c>
      <c r="M79" s="50">
        <v>1</v>
      </c>
      <c r="N79" s="50">
        <v>11</v>
      </c>
      <c r="O79" s="432">
        <v>8.4583901773533423</v>
      </c>
      <c r="P79" s="327" t="s">
        <v>248</v>
      </c>
      <c r="Q79" s="65">
        <v>184</v>
      </c>
      <c r="R79" s="66">
        <f t="shared" si="33"/>
        <v>34</v>
      </c>
      <c r="S79" s="67">
        <v>1</v>
      </c>
      <c r="T79" s="67">
        <v>0</v>
      </c>
      <c r="U79" s="67">
        <v>1</v>
      </c>
      <c r="V79" s="67">
        <v>0</v>
      </c>
      <c r="W79" s="67">
        <v>20</v>
      </c>
      <c r="X79" s="67">
        <v>0</v>
      </c>
      <c r="Y79" s="67">
        <v>2</v>
      </c>
      <c r="Z79" s="67">
        <v>0</v>
      </c>
      <c r="AA79" s="67">
        <v>1</v>
      </c>
      <c r="AB79" s="67">
        <v>0</v>
      </c>
      <c r="AC79" s="67">
        <v>1</v>
      </c>
      <c r="AD79" s="67">
        <v>0</v>
      </c>
      <c r="AE79" s="67">
        <v>8</v>
      </c>
      <c r="AF79" s="67">
        <v>0</v>
      </c>
      <c r="AG79" s="67">
        <v>0</v>
      </c>
      <c r="AH79" s="67">
        <v>0</v>
      </c>
      <c r="AI79" s="67">
        <v>0</v>
      </c>
      <c r="AJ79" s="67">
        <v>0</v>
      </c>
      <c r="AK79" s="67">
        <v>0</v>
      </c>
      <c r="AL79" s="67">
        <v>0</v>
      </c>
      <c r="AM79" s="67">
        <v>0</v>
      </c>
      <c r="AN79" s="67">
        <v>0</v>
      </c>
      <c r="AO79" s="67">
        <v>0</v>
      </c>
      <c r="AP79" s="67">
        <v>0</v>
      </c>
      <c r="AQ79" s="67">
        <v>0</v>
      </c>
      <c r="AR79" s="67">
        <v>0</v>
      </c>
      <c r="AS79" s="68">
        <v>23</v>
      </c>
      <c r="AT79" s="68">
        <v>11</v>
      </c>
      <c r="AU79" s="407"/>
      <c r="AV79" s="233"/>
      <c r="AW79" s="19" t="s">
        <v>65</v>
      </c>
      <c r="AX79" s="19" t="s">
        <v>65</v>
      </c>
      <c r="AY79" s="19" t="s">
        <v>65</v>
      </c>
      <c r="AZ79" s="19" t="s">
        <v>65</v>
      </c>
      <c r="BA79" s="19" t="s">
        <v>65</v>
      </c>
      <c r="BB79" s="19" t="s">
        <v>65</v>
      </c>
      <c r="BC79" s="19" t="s">
        <v>66</v>
      </c>
      <c r="BD79" s="19" t="s">
        <v>66</v>
      </c>
      <c r="BE79" s="19"/>
      <c r="BF79" s="19"/>
      <c r="BG79" s="19"/>
      <c r="BH79" s="19"/>
      <c r="BI79" s="19"/>
      <c r="BJ79" s="19" t="s">
        <v>66</v>
      </c>
      <c r="BK79" s="19" t="s">
        <v>66</v>
      </c>
      <c r="BL79" s="19"/>
      <c r="BM79" s="19"/>
      <c r="BN79" s="19"/>
      <c r="BO79" s="19"/>
      <c r="BP79" s="19"/>
      <c r="BQ79" s="19" t="s">
        <v>66</v>
      </c>
      <c r="BR79" s="19"/>
      <c r="BS79" s="19"/>
      <c r="BT79" s="19"/>
      <c r="BU79" s="19"/>
      <c r="BV79" s="19"/>
      <c r="BW79" s="19"/>
      <c r="BX79" s="19" t="s">
        <v>66</v>
      </c>
      <c r="BY79" s="19" t="s">
        <v>66</v>
      </c>
      <c r="BZ79" s="19"/>
      <c r="CA79" s="19" t="s">
        <v>66</v>
      </c>
      <c r="CB79" s="409"/>
    </row>
    <row r="80" spans="1:80" ht="15" customHeight="1" outlineLevel="1">
      <c r="A80" s="42">
        <v>25</v>
      </c>
      <c r="B80" s="47" t="s">
        <v>249</v>
      </c>
      <c r="C80" s="670" t="s">
        <v>186</v>
      </c>
      <c r="D80" s="51" t="s">
        <v>250</v>
      </c>
      <c r="E80" s="51" t="s">
        <v>216</v>
      </c>
      <c r="F80" s="51">
        <v>122001323</v>
      </c>
      <c r="G80" s="51" t="s">
        <v>74</v>
      </c>
      <c r="H80" s="695" t="s">
        <v>88</v>
      </c>
      <c r="I80" s="44" t="s">
        <v>106</v>
      </c>
      <c r="J80" s="430">
        <v>124</v>
      </c>
      <c r="K80" s="45">
        <f>+Q80</f>
        <v>152</v>
      </c>
      <c r="L80" s="46">
        <f t="shared" si="35"/>
        <v>28</v>
      </c>
      <c r="M80" s="50">
        <v>1</v>
      </c>
      <c r="N80" s="50">
        <v>11</v>
      </c>
      <c r="O80" s="432">
        <v>8.4583901773533423</v>
      </c>
      <c r="P80" s="327" t="s">
        <v>251</v>
      </c>
      <c r="Q80" s="65">
        <v>152</v>
      </c>
      <c r="R80" s="66">
        <v>28</v>
      </c>
      <c r="S80" s="67">
        <v>3</v>
      </c>
      <c r="T80" s="67">
        <v>0</v>
      </c>
      <c r="U80" s="67">
        <v>1</v>
      </c>
      <c r="V80" s="67">
        <v>0</v>
      </c>
      <c r="W80" s="67">
        <v>7</v>
      </c>
      <c r="X80" s="67">
        <v>0</v>
      </c>
      <c r="Y80" s="67">
        <v>1</v>
      </c>
      <c r="Z80" s="67">
        <v>0</v>
      </c>
      <c r="AA80" s="67">
        <v>2</v>
      </c>
      <c r="AB80" s="67">
        <v>0</v>
      </c>
      <c r="AC80" s="67">
        <v>2</v>
      </c>
      <c r="AD80" s="67">
        <v>0</v>
      </c>
      <c r="AE80" s="67">
        <v>2</v>
      </c>
      <c r="AF80" s="67">
        <v>0</v>
      </c>
      <c r="AG80" s="67">
        <v>0</v>
      </c>
      <c r="AH80" s="67">
        <v>0</v>
      </c>
      <c r="AI80" s="67">
        <v>8</v>
      </c>
      <c r="AJ80" s="67">
        <v>0</v>
      </c>
      <c r="AK80" s="67">
        <v>1</v>
      </c>
      <c r="AL80" s="67">
        <v>0</v>
      </c>
      <c r="AM80" s="67">
        <v>1</v>
      </c>
      <c r="AN80" s="67">
        <v>0</v>
      </c>
      <c r="AO80" s="67">
        <v>0</v>
      </c>
      <c r="AP80" s="67">
        <v>0</v>
      </c>
      <c r="AQ80" s="67">
        <v>0</v>
      </c>
      <c r="AR80" s="67">
        <v>0</v>
      </c>
      <c r="AS80" s="68">
        <v>22</v>
      </c>
      <c r="AT80" s="68">
        <v>6</v>
      </c>
      <c r="AU80" s="407"/>
      <c r="AV80" s="233"/>
      <c r="AW80" s="19" t="s">
        <v>65</v>
      </c>
      <c r="AX80" s="19" t="s">
        <v>65</v>
      </c>
      <c r="AY80" s="19" t="s">
        <v>65</v>
      </c>
      <c r="AZ80" s="19" t="s">
        <v>65</v>
      </c>
      <c r="BA80" s="19" t="s">
        <v>65</v>
      </c>
      <c r="BB80" s="19" t="s">
        <v>65</v>
      </c>
      <c r="BC80" s="19" t="s">
        <v>66</v>
      </c>
      <c r="BD80" s="19" t="s">
        <v>66</v>
      </c>
      <c r="BE80" s="19" t="s">
        <v>65</v>
      </c>
      <c r="BF80" s="19" t="s">
        <v>65</v>
      </c>
      <c r="BG80" s="19" t="s">
        <v>65</v>
      </c>
      <c r="BH80" s="19" t="s">
        <v>65</v>
      </c>
      <c r="BI80" s="19"/>
      <c r="BJ80" s="19" t="s">
        <v>66</v>
      </c>
      <c r="BK80" s="19" t="s">
        <v>66</v>
      </c>
      <c r="BL80" s="19"/>
      <c r="BM80" s="19"/>
      <c r="BN80" s="19"/>
      <c r="BO80" s="19"/>
      <c r="BP80" s="19"/>
      <c r="BQ80" s="19" t="s">
        <v>66</v>
      </c>
      <c r="BR80" s="19"/>
      <c r="BS80" s="19"/>
      <c r="BT80" s="19"/>
      <c r="BU80" s="19"/>
      <c r="BV80" s="19"/>
      <c r="BW80" s="19"/>
      <c r="BX80" s="19" t="s">
        <v>66</v>
      </c>
      <c r="BY80" s="19" t="s">
        <v>66</v>
      </c>
      <c r="BZ80" s="19"/>
      <c r="CA80" s="19" t="s">
        <v>66</v>
      </c>
      <c r="CB80" s="409"/>
    </row>
    <row r="81" spans="1:80" ht="15" customHeight="1" outlineLevel="1">
      <c r="A81" s="42">
        <v>26</v>
      </c>
      <c r="B81" s="47" t="s">
        <v>252</v>
      </c>
      <c r="C81" s="670" t="s">
        <v>76</v>
      </c>
      <c r="D81" s="51" t="s">
        <v>202</v>
      </c>
      <c r="E81" s="51" t="s">
        <v>220</v>
      </c>
      <c r="F81" s="51">
        <v>122001326</v>
      </c>
      <c r="G81" s="51" t="s">
        <v>203</v>
      </c>
      <c r="H81" s="695" t="s">
        <v>88</v>
      </c>
      <c r="I81" s="44" t="s">
        <v>106</v>
      </c>
      <c r="J81" s="430">
        <v>30</v>
      </c>
      <c r="K81" s="45">
        <f t="shared" si="34"/>
        <v>32</v>
      </c>
      <c r="L81" s="46">
        <f t="shared" si="35"/>
        <v>2</v>
      </c>
      <c r="M81" s="50">
        <v>19</v>
      </c>
      <c r="N81" s="50">
        <v>22</v>
      </c>
      <c r="O81" s="432">
        <v>2.0463847203274215</v>
      </c>
      <c r="P81" s="327" t="s">
        <v>253</v>
      </c>
      <c r="Q81" s="65">
        <v>32</v>
      </c>
      <c r="R81" s="66">
        <f>+S81+U81+W81+Y81+AC81+AE81+AG81+AI81+AK81+AM81+AO81+AQ81+AA81</f>
        <v>7</v>
      </c>
      <c r="S81" s="67">
        <v>1</v>
      </c>
      <c r="T81" s="67">
        <v>0</v>
      </c>
      <c r="U81" s="67">
        <v>2</v>
      </c>
      <c r="V81" s="67">
        <v>0</v>
      </c>
      <c r="W81" s="67">
        <v>0</v>
      </c>
      <c r="X81" s="67">
        <v>0</v>
      </c>
      <c r="Y81" s="67">
        <v>1</v>
      </c>
      <c r="Z81" s="67">
        <v>0</v>
      </c>
      <c r="AA81" s="67">
        <v>0</v>
      </c>
      <c r="AB81" s="67">
        <v>0</v>
      </c>
      <c r="AC81" s="67">
        <v>2</v>
      </c>
      <c r="AD81" s="67">
        <v>0</v>
      </c>
      <c r="AE81" s="67">
        <v>0</v>
      </c>
      <c r="AF81" s="67">
        <v>0</v>
      </c>
      <c r="AG81" s="67">
        <v>1</v>
      </c>
      <c r="AH81" s="67">
        <v>0</v>
      </c>
      <c r="AI81" s="67">
        <v>0</v>
      </c>
      <c r="AJ81" s="67">
        <v>0</v>
      </c>
      <c r="AK81" s="67">
        <v>0</v>
      </c>
      <c r="AL81" s="67">
        <v>0</v>
      </c>
      <c r="AM81" s="67">
        <v>0</v>
      </c>
      <c r="AN81" s="67">
        <v>0</v>
      </c>
      <c r="AO81" s="67">
        <v>0</v>
      </c>
      <c r="AP81" s="67">
        <v>0</v>
      </c>
      <c r="AQ81" s="67">
        <v>0</v>
      </c>
      <c r="AR81" s="67">
        <v>0</v>
      </c>
      <c r="AS81" s="68">
        <v>3</v>
      </c>
      <c r="AT81" s="68">
        <v>4</v>
      </c>
      <c r="AU81" s="407"/>
      <c r="AV81" s="233"/>
      <c r="AW81" s="19"/>
      <c r="AX81" s="19"/>
      <c r="AY81" s="19"/>
      <c r="AZ81" s="19"/>
      <c r="BA81" s="19"/>
      <c r="BB81" s="19"/>
      <c r="BC81" s="19" t="s">
        <v>66</v>
      </c>
      <c r="BD81" s="19" t="s">
        <v>66</v>
      </c>
      <c r="BE81" s="19"/>
      <c r="BF81" s="19"/>
      <c r="BG81" s="19"/>
      <c r="BH81" s="19"/>
      <c r="BI81" s="19"/>
      <c r="BJ81" s="19" t="s">
        <v>66</v>
      </c>
      <c r="BK81" s="19" t="s">
        <v>66</v>
      </c>
      <c r="BL81" s="19"/>
      <c r="BM81" s="19"/>
      <c r="BN81" s="19"/>
      <c r="BO81" s="19" t="s">
        <v>65</v>
      </c>
      <c r="BP81" s="19"/>
      <c r="BQ81" s="19" t="s">
        <v>66</v>
      </c>
      <c r="BR81" s="19" t="s">
        <v>65</v>
      </c>
      <c r="BS81" s="19"/>
      <c r="BT81" s="19"/>
      <c r="BU81" s="19"/>
      <c r="BV81" s="19"/>
      <c r="BW81" s="19"/>
      <c r="BX81" s="19" t="s">
        <v>66</v>
      </c>
      <c r="BY81" s="19" t="s">
        <v>66</v>
      </c>
      <c r="BZ81" s="19"/>
      <c r="CA81" s="19" t="s">
        <v>66</v>
      </c>
      <c r="CB81" s="409"/>
    </row>
    <row r="82" spans="1:80" ht="15" customHeight="1" outlineLevel="1">
      <c r="A82" s="42">
        <v>27</v>
      </c>
      <c r="B82" s="47" t="s">
        <v>254</v>
      </c>
      <c r="C82" s="670" t="s">
        <v>76</v>
      </c>
      <c r="D82" s="51" t="s">
        <v>255</v>
      </c>
      <c r="E82" s="51" t="s">
        <v>220</v>
      </c>
      <c r="F82" s="51">
        <v>122001222</v>
      </c>
      <c r="G82" s="51" t="s">
        <v>256</v>
      </c>
      <c r="H82" s="695" t="s">
        <v>88</v>
      </c>
      <c r="I82" s="44" t="s">
        <v>106</v>
      </c>
      <c r="J82" s="430">
        <v>30</v>
      </c>
      <c r="K82" s="45">
        <f t="shared" si="34"/>
        <v>32</v>
      </c>
      <c r="L82" s="46">
        <f t="shared" si="35"/>
        <v>2</v>
      </c>
      <c r="M82" s="50">
        <v>23</v>
      </c>
      <c r="N82" s="50">
        <v>24</v>
      </c>
      <c r="O82" s="432">
        <v>2.0463847203274215</v>
      </c>
      <c r="P82" s="327" t="s">
        <v>257</v>
      </c>
      <c r="Q82" s="65">
        <v>32</v>
      </c>
      <c r="R82" s="66">
        <f t="shared" si="33"/>
        <v>8</v>
      </c>
      <c r="S82" s="67">
        <v>1</v>
      </c>
      <c r="T82" s="67">
        <v>0</v>
      </c>
      <c r="U82" s="67">
        <v>2</v>
      </c>
      <c r="V82" s="67">
        <v>0</v>
      </c>
      <c r="W82" s="67">
        <v>0</v>
      </c>
      <c r="X82" s="67">
        <v>0</v>
      </c>
      <c r="Y82" s="67">
        <v>1</v>
      </c>
      <c r="Z82" s="67">
        <v>0</v>
      </c>
      <c r="AA82" s="67">
        <v>1</v>
      </c>
      <c r="AB82" s="67">
        <v>0</v>
      </c>
      <c r="AC82" s="67">
        <v>2</v>
      </c>
      <c r="AD82" s="67">
        <v>0</v>
      </c>
      <c r="AE82" s="67">
        <v>0</v>
      </c>
      <c r="AF82" s="67">
        <v>0</v>
      </c>
      <c r="AG82" s="67">
        <v>0</v>
      </c>
      <c r="AH82" s="67">
        <v>0</v>
      </c>
      <c r="AI82" s="67">
        <v>1</v>
      </c>
      <c r="AJ82" s="67">
        <v>0</v>
      </c>
      <c r="AK82" s="67">
        <v>0</v>
      </c>
      <c r="AL82" s="67">
        <v>0</v>
      </c>
      <c r="AM82" s="67">
        <v>0</v>
      </c>
      <c r="AN82" s="67">
        <v>0</v>
      </c>
      <c r="AO82" s="67">
        <v>0</v>
      </c>
      <c r="AP82" s="67">
        <v>0</v>
      </c>
      <c r="AQ82" s="67">
        <v>0</v>
      </c>
      <c r="AR82" s="67">
        <v>0</v>
      </c>
      <c r="AS82" s="68">
        <v>2</v>
      </c>
      <c r="AT82" s="68">
        <v>6</v>
      </c>
      <c r="AU82" s="407"/>
      <c r="AV82" s="233"/>
      <c r="AW82" s="19"/>
      <c r="AX82" s="19"/>
      <c r="AY82" s="19"/>
      <c r="AZ82" s="19"/>
      <c r="BA82" s="19"/>
      <c r="BB82" s="19"/>
      <c r="BC82" s="19" t="s">
        <v>66</v>
      </c>
      <c r="BD82" s="19" t="s">
        <v>66</v>
      </c>
      <c r="BE82" s="19"/>
      <c r="BF82" s="19"/>
      <c r="BG82" s="19"/>
      <c r="BH82" s="19"/>
      <c r="BI82" s="19"/>
      <c r="BJ82" s="19" t="s">
        <v>66</v>
      </c>
      <c r="BK82" s="19" t="s">
        <v>66</v>
      </c>
      <c r="BL82" s="19"/>
      <c r="BM82" s="19"/>
      <c r="BN82" s="19"/>
      <c r="BO82" s="19"/>
      <c r="BP82" s="19"/>
      <c r="BQ82" s="19" t="s">
        <v>66</v>
      </c>
      <c r="BR82" s="19"/>
      <c r="BS82" s="19"/>
      <c r="BT82" s="19"/>
      <c r="BU82" s="19"/>
      <c r="BV82" s="19"/>
      <c r="BW82" s="19"/>
      <c r="BX82" s="19" t="s">
        <v>66</v>
      </c>
      <c r="BY82" s="19" t="s">
        <v>66</v>
      </c>
      <c r="BZ82" s="19"/>
      <c r="CA82" s="19" t="s">
        <v>66</v>
      </c>
      <c r="CB82" s="409"/>
    </row>
    <row r="83" spans="1:80" ht="15" customHeight="1" outlineLevel="1">
      <c r="A83" s="42">
        <v>28</v>
      </c>
      <c r="B83" s="47" t="s">
        <v>258</v>
      </c>
      <c r="C83" s="670" t="s">
        <v>76</v>
      </c>
      <c r="D83" s="51" t="s">
        <v>259</v>
      </c>
      <c r="E83" s="51" t="s">
        <v>220</v>
      </c>
      <c r="F83" s="51">
        <v>122001221</v>
      </c>
      <c r="G83" s="51" t="s">
        <v>256</v>
      </c>
      <c r="H83" s="695" t="s">
        <v>88</v>
      </c>
      <c r="I83" s="44" t="s">
        <v>106</v>
      </c>
      <c r="J83" s="430">
        <v>30</v>
      </c>
      <c r="K83" s="45">
        <f t="shared" si="34"/>
        <v>0</v>
      </c>
      <c r="L83" s="46">
        <f t="shared" si="35"/>
        <v>-30</v>
      </c>
      <c r="M83" s="50">
        <v>25</v>
      </c>
      <c r="N83" s="50">
        <v>26</v>
      </c>
      <c r="O83" s="432">
        <v>2.0463847203274215</v>
      </c>
      <c r="P83" s="327"/>
      <c r="Q83" s="65"/>
      <c r="R83" s="66">
        <f t="shared" si="33"/>
        <v>0</v>
      </c>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8"/>
      <c r="AT83" s="68"/>
      <c r="AU83" s="407"/>
      <c r="AV83" s="233"/>
      <c r="AW83" s="19"/>
      <c r="AX83" s="19"/>
      <c r="AY83" s="19"/>
      <c r="AZ83" s="19"/>
      <c r="BA83" s="19"/>
      <c r="BB83" s="19"/>
      <c r="BC83" s="19" t="s">
        <v>66</v>
      </c>
      <c r="BD83" s="19" t="s">
        <v>66</v>
      </c>
      <c r="BE83" s="19"/>
      <c r="BF83" s="19"/>
      <c r="BG83" s="19"/>
      <c r="BH83" s="19"/>
      <c r="BI83" s="19"/>
      <c r="BJ83" s="19" t="s">
        <v>66</v>
      </c>
      <c r="BK83" s="19" t="s">
        <v>66</v>
      </c>
      <c r="BL83" s="19"/>
      <c r="BM83" s="19"/>
      <c r="BN83" s="19"/>
      <c r="BO83" s="19"/>
      <c r="BP83" s="19"/>
      <c r="BQ83" s="19" t="s">
        <v>66</v>
      </c>
      <c r="BR83" s="19"/>
      <c r="BS83" s="19"/>
      <c r="BT83" s="19"/>
      <c r="BU83" s="19"/>
      <c r="BV83" s="19"/>
      <c r="BW83" s="19"/>
      <c r="BX83" s="19" t="s">
        <v>66</v>
      </c>
      <c r="BY83" s="19" t="s">
        <v>66</v>
      </c>
      <c r="BZ83" s="19"/>
      <c r="CA83" s="19" t="s">
        <v>66</v>
      </c>
      <c r="CB83" s="409"/>
    </row>
    <row r="84" spans="1:80" ht="15" customHeight="1" outlineLevel="1">
      <c r="A84" s="42">
        <v>29</v>
      </c>
      <c r="B84" s="47" t="s">
        <v>260</v>
      </c>
      <c r="C84" s="670" t="s">
        <v>76</v>
      </c>
      <c r="D84" s="51" t="s">
        <v>259</v>
      </c>
      <c r="E84" s="51" t="s">
        <v>261</v>
      </c>
      <c r="F84" s="51">
        <v>122001221</v>
      </c>
      <c r="G84" s="51" t="s">
        <v>256</v>
      </c>
      <c r="H84" s="695" t="s">
        <v>88</v>
      </c>
      <c r="I84" s="44" t="s">
        <v>106</v>
      </c>
      <c r="J84" s="430">
        <v>15</v>
      </c>
      <c r="K84" s="45">
        <f t="shared" si="34"/>
        <v>16</v>
      </c>
      <c r="L84" s="46">
        <f t="shared" si="35"/>
        <v>1</v>
      </c>
      <c r="M84" s="50">
        <v>16</v>
      </c>
      <c r="N84" s="50">
        <v>16</v>
      </c>
      <c r="O84" s="432">
        <v>1.0231923601637107</v>
      </c>
      <c r="P84" s="327">
        <v>16</v>
      </c>
      <c r="Q84" s="65">
        <v>16</v>
      </c>
      <c r="R84" s="66">
        <f t="shared" si="33"/>
        <v>3</v>
      </c>
      <c r="S84" s="67">
        <v>0</v>
      </c>
      <c r="T84" s="67">
        <v>0</v>
      </c>
      <c r="U84" s="67">
        <v>1</v>
      </c>
      <c r="V84" s="67">
        <v>0</v>
      </c>
      <c r="W84" s="67">
        <v>0</v>
      </c>
      <c r="X84" s="67">
        <v>0</v>
      </c>
      <c r="Y84" s="67">
        <v>0</v>
      </c>
      <c r="Z84" s="67">
        <v>0</v>
      </c>
      <c r="AA84" s="67">
        <v>0</v>
      </c>
      <c r="AB84" s="67">
        <v>0</v>
      </c>
      <c r="AC84" s="67">
        <v>1</v>
      </c>
      <c r="AD84" s="67">
        <v>0</v>
      </c>
      <c r="AE84" s="67">
        <v>0</v>
      </c>
      <c r="AF84" s="67">
        <v>0</v>
      </c>
      <c r="AG84" s="67">
        <v>0</v>
      </c>
      <c r="AH84" s="67">
        <v>0</v>
      </c>
      <c r="AI84" s="67">
        <v>0</v>
      </c>
      <c r="AJ84" s="67">
        <v>0</v>
      </c>
      <c r="AK84" s="67">
        <v>0</v>
      </c>
      <c r="AL84" s="67">
        <v>0</v>
      </c>
      <c r="AM84" s="67">
        <v>1</v>
      </c>
      <c r="AN84" s="67">
        <v>0</v>
      </c>
      <c r="AO84" s="67">
        <v>0</v>
      </c>
      <c r="AP84" s="67">
        <v>0</v>
      </c>
      <c r="AQ84" s="67">
        <v>0</v>
      </c>
      <c r="AR84" s="67">
        <v>0</v>
      </c>
      <c r="AS84" s="68">
        <v>1</v>
      </c>
      <c r="AT84" s="68">
        <v>2</v>
      </c>
      <c r="AU84" s="407"/>
      <c r="AV84" s="233"/>
      <c r="AW84" s="19"/>
      <c r="AX84" s="19"/>
      <c r="AY84" s="19"/>
      <c r="AZ84" s="19"/>
      <c r="BA84" s="19"/>
      <c r="BB84" s="19"/>
      <c r="BC84" s="19" t="s">
        <v>66</v>
      </c>
      <c r="BD84" s="19" t="s">
        <v>66</v>
      </c>
      <c r="BE84" s="19"/>
      <c r="BF84" s="19"/>
      <c r="BG84" s="19"/>
      <c r="BH84" s="19"/>
      <c r="BI84" s="19"/>
      <c r="BJ84" s="19" t="s">
        <v>66</v>
      </c>
      <c r="BK84" s="19" t="s">
        <v>66</v>
      </c>
      <c r="BL84" s="19" t="s">
        <v>65</v>
      </c>
      <c r="BM84" s="19"/>
      <c r="BN84" s="19"/>
      <c r="BO84" s="19"/>
      <c r="BP84" s="19"/>
      <c r="BQ84" s="19" t="s">
        <v>66</v>
      </c>
      <c r="BR84" s="19"/>
      <c r="BS84" s="19"/>
      <c r="BT84" s="19"/>
      <c r="BU84" s="19"/>
      <c r="BV84" s="19"/>
      <c r="BW84" s="19"/>
      <c r="BX84" s="19" t="s">
        <v>66</v>
      </c>
      <c r="BY84" s="19" t="s">
        <v>66</v>
      </c>
      <c r="BZ84" s="19"/>
      <c r="CA84" s="19" t="s">
        <v>66</v>
      </c>
      <c r="CB84" s="409"/>
    </row>
    <row r="85" spans="1:80" ht="15" customHeight="1" outlineLevel="1">
      <c r="A85" s="42">
        <v>30</v>
      </c>
      <c r="B85" s="47" t="s">
        <v>262</v>
      </c>
      <c r="C85" s="670" t="s">
        <v>76</v>
      </c>
      <c r="D85" s="51" t="s">
        <v>263</v>
      </c>
      <c r="E85" s="51" t="s">
        <v>264</v>
      </c>
      <c r="F85" s="51">
        <v>122001225</v>
      </c>
      <c r="G85" s="51" t="s">
        <v>256</v>
      </c>
      <c r="H85" s="695" t="s">
        <v>88</v>
      </c>
      <c r="I85" s="44" t="s">
        <v>106</v>
      </c>
      <c r="J85" s="430">
        <v>30</v>
      </c>
      <c r="K85" s="45">
        <f t="shared" si="34"/>
        <v>16</v>
      </c>
      <c r="L85" s="46">
        <f t="shared" si="35"/>
        <v>-14</v>
      </c>
      <c r="M85" s="50">
        <v>17</v>
      </c>
      <c r="N85" s="50">
        <v>18</v>
      </c>
      <c r="O85" s="432">
        <v>2.0463847203274215</v>
      </c>
      <c r="P85" s="327" t="s">
        <v>265</v>
      </c>
      <c r="Q85" s="65">
        <v>16</v>
      </c>
      <c r="R85" s="66">
        <v>8</v>
      </c>
      <c r="S85" s="67">
        <v>1</v>
      </c>
      <c r="T85" s="67">
        <v>0</v>
      </c>
      <c r="U85" s="67">
        <v>1</v>
      </c>
      <c r="V85" s="67">
        <v>0</v>
      </c>
      <c r="W85" s="67">
        <v>2</v>
      </c>
      <c r="X85" s="67">
        <v>0</v>
      </c>
      <c r="Y85" s="67">
        <v>2</v>
      </c>
      <c r="Z85" s="67">
        <v>0</v>
      </c>
      <c r="AA85" s="67">
        <v>0</v>
      </c>
      <c r="AB85" s="67">
        <v>0</v>
      </c>
      <c r="AC85" s="67">
        <v>1</v>
      </c>
      <c r="AD85" s="67">
        <v>0</v>
      </c>
      <c r="AE85" s="67">
        <v>0</v>
      </c>
      <c r="AF85" s="67">
        <v>0</v>
      </c>
      <c r="AG85" s="67">
        <v>0</v>
      </c>
      <c r="AH85" s="67">
        <v>0</v>
      </c>
      <c r="AI85" s="67">
        <v>0</v>
      </c>
      <c r="AJ85" s="67">
        <v>0</v>
      </c>
      <c r="AK85" s="67">
        <v>1</v>
      </c>
      <c r="AL85" s="67">
        <v>0</v>
      </c>
      <c r="AM85" s="67">
        <v>0</v>
      </c>
      <c r="AN85" s="67">
        <v>0</v>
      </c>
      <c r="AO85" s="67">
        <v>0</v>
      </c>
      <c r="AP85" s="67">
        <v>0</v>
      </c>
      <c r="AQ85" s="67">
        <v>0</v>
      </c>
      <c r="AR85" s="67">
        <v>0</v>
      </c>
      <c r="AS85" s="68">
        <v>2</v>
      </c>
      <c r="AT85" s="68">
        <v>6</v>
      </c>
      <c r="AU85" s="407"/>
      <c r="AV85" s="233"/>
      <c r="AW85" s="19"/>
      <c r="AX85" s="19"/>
      <c r="AY85" s="19"/>
      <c r="AZ85" s="19"/>
      <c r="BA85" s="19"/>
      <c r="BB85" s="19"/>
      <c r="BC85" s="19" t="s">
        <v>66</v>
      </c>
      <c r="BD85" s="19" t="s">
        <v>66</v>
      </c>
      <c r="BE85" s="19"/>
      <c r="BF85" s="19"/>
      <c r="BG85" s="19"/>
      <c r="BH85" s="19"/>
      <c r="BI85" s="19"/>
      <c r="BJ85" s="19" t="s">
        <v>66</v>
      </c>
      <c r="BK85" s="19" t="s">
        <v>66</v>
      </c>
      <c r="BL85" s="19"/>
      <c r="BM85" s="19" t="s">
        <v>65</v>
      </c>
      <c r="BN85" s="19" t="s">
        <v>65</v>
      </c>
      <c r="BO85" s="19"/>
      <c r="BP85" s="19"/>
      <c r="BQ85" s="19" t="s">
        <v>66</v>
      </c>
      <c r="BR85" s="19"/>
      <c r="BS85" s="19"/>
      <c r="BT85" s="19"/>
      <c r="BU85" s="19"/>
      <c r="BV85" s="19"/>
      <c r="BW85" s="19"/>
      <c r="BX85" s="19" t="s">
        <v>66</v>
      </c>
      <c r="BY85" s="19" t="s">
        <v>66</v>
      </c>
      <c r="BZ85" s="19"/>
      <c r="CA85" s="19" t="s">
        <v>66</v>
      </c>
      <c r="CB85" s="409"/>
    </row>
    <row r="86" spans="1:80" ht="15" customHeight="1" outlineLevel="1">
      <c r="A86" s="42">
        <v>31</v>
      </c>
      <c r="B86" s="47" t="s">
        <v>266</v>
      </c>
      <c r="C86" s="670" t="s">
        <v>76</v>
      </c>
      <c r="D86" s="51" t="s">
        <v>267</v>
      </c>
      <c r="E86" s="51" t="s">
        <v>261</v>
      </c>
      <c r="F86" s="51">
        <v>122001226</v>
      </c>
      <c r="G86" s="51" t="s">
        <v>256</v>
      </c>
      <c r="H86" s="695" t="s">
        <v>88</v>
      </c>
      <c r="I86" s="44" t="s">
        <v>106</v>
      </c>
      <c r="J86" s="430">
        <v>30</v>
      </c>
      <c r="K86" s="45">
        <f t="shared" si="34"/>
        <v>32</v>
      </c>
      <c r="L86" s="46">
        <f t="shared" si="35"/>
        <v>2</v>
      </c>
      <c r="M86" s="50">
        <v>11</v>
      </c>
      <c r="N86" s="50">
        <v>12</v>
      </c>
      <c r="O86" s="432">
        <v>2.0463847203274215</v>
      </c>
      <c r="P86" s="327" t="s">
        <v>268</v>
      </c>
      <c r="Q86" s="65">
        <v>32</v>
      </c>
      <c r="R86" s="66">
        <f t="shared" si="33"/>
        <v>6</v>
      </c>
      <c r="S86" s="67">
        <v>0</v>
      </c>
      <c r="T86" s="67">
        <v>0</v>
      </c>
      <c r="U86" s="67">
        <v>3</v>
      </c>
      <c r="V86" s="67">
        <v>0</v>
      </c>
      <c r="W86" s="67">
        <v>0</v>
      </c>
      <c r="X86" s="67">
        <v>0</v>
      </c>
      <c r="Y86" s="67">
        <v>1</v>
      </c>
      <c r="Z86" s="67">
        <v>0</v>
      </c>
      <c r="AA86" s="67">
        <v>0</v>
      </c>
      <c r="AB86" s="67">
        <v>0</v>
      </c>
      <c r="AC86" s="67">
        <v>1</v>
      </c>
      <c r="AD86" s="67">
        <v>0</v>
      </c>
      <c r="AE86" s="67">
        <v>0</v>
      </c>
      <c r="AF86" s="67">
        <v>0</v>
      </c>
      <c r="AG86" s="67">
        <v>0</v>
      </c>
      <c r="AH86" s="67">
        <v>0</v>
      </c>
      <c r="AI86" s="67">
        <v>1</v>
      </c>
      <c r="AJ86" s="67">
        <v>0</v>
      </c>
      <c r="AK86" s="67">
        <v>0</v>
      </c>
      <c r="AL86" s="67">
        <v>0</v>
      </c>
      <c r="AM86" s="67">
        <v>0</v>
      </c>
      <c r="AN86" s="67">
        <v>0</v>
      </c>
      <c r="AO86" s="67">
        <v>0</v>
      </c>
      <c r="AP86" s="67">
        <v>0</v>
      </c>
      <c r="AQ86" s="67">
        <v>0</v>
      </c>
      <c r="AR86" s="67">
        <v>0</v>
      </c>
      <c r="AS86" s="68">
        <v>3</v>
      </c>
      <c r="AT86" s="68">
        <v>3</v>
      </c>
      <c r="AU86" s="407"/>
      <c r="AV86" s="233"/>
      <c r="AW86" s="19"/>
      <c r="AX86" s="19"/>
      <c r="AY86" s="19"/>
      <c r="AZ86" s="19"/>
      <c r="BA86" s="19"/>
      <c r="BB86" s="19"/>
      <c r="BC86" s="19" t="s">
        <v>66</v>
      </c>
      <c r="BD86" s="19" t="s">
        <v>66</v>
      </c>
      <c r="BE86" s="19"/>
      <c r="BF86" s="19"/>
      <c r="BG86" s="19" t="s">
        <v>65</v>
      </c>
      <c r="BH86" s="19" t="s">
        <v>65</v>
      </c>
      <c r="BI86" s="19"/>
      <c r="BJ86" s="19" t="s">
        <v>66</v>
      </c>
      <c r="BK86" s="19" t="s">
        <v>66</v>
      </c>
      <c r="BL86" s="19"/>
      <c r="BM86" s="19"/>
      <c r="BN86" s="19"/>
      <c r="BO86" s="19"/>
      <c r="BP86" s="19"/>
      <c r="BQ86" s="19" t="s">
        <v>66</v>
      </c>
      <c r="BR86" s="19"/>
      <c r="BS86" s="19"/>
      <c r="BT86" s="19"/>
      <c r="BU86" s="19"/>
      <c r="BV86" s="19"/>
      <c r="BW86" s="19"/>
      <c r="BX86" s="19" t="s">
        <v>66</v>
      </c>
      <c r="BY86" s="19" t="s">
        <v>66</v>
      </c>
      <c r="BZ86" s="19"/>
      <c r="CA86" s="19" t="s">
        <v>66</v>
      </c>
      <c r="CB86" s="409"/>
    </row>
    <row r="87" spans="1:80" ht="15" customHeight="1" outlineLevel="1">
      <c r="A87" s="42">
        <v>32</v>
      </c>
      <c r="B87" s="674" t="s">
        <v>269</v>
      </c>
      <c r="C87" s="670" t="s">
        <v>76</v>
      </c>
      <c r="D87" s="51" t="s">
        <v>270</v>
      </c>
      <c r="E87" s="51" t="s">
        <v>220</v>
      </c>
      <c r="F87" s="51">
        <v>122001219</v>
      </c>
      <c r="G87" s="51" t="s">
        <v>256</v>
      </c>
      <c r="H87" s="695" t="s">
        <v>88</v>
      </c>
      <c r="I87" s="44" t="s">
        <v>106</v>
      </c>
      <c r="J87" s="430">
        <v>110</v>
      </c>
      <c r="K87" s="45">
        <f t="shared" si="34"/>
        <v>112</v>
      </c>
      <c r="L87" s="46">
        <f t="shared" si="35"/>
        <v>2</v>
      </c>
      <c r="M87" s="50">
        <v>1</v>
      </c>
      <c r="N87" s="50">
        <v>10</v>
      </c>
      <c r="O87" s="432">
        <v>7.5034106412005457</v>
      </c>
      <c r="P87" s="327" t="s">
        <v>233</v>
      </c>
      <c r="Q87" s="65">
        <v>112</v>
      </c>
      <c r="R87" s="66">
        <v>26</v>
      </c>
      <c r="S87" s="67">
        <v>4</v>
      </c>
      <c r="T87" s="67">
        <v>0</v>
      </c>
      <c r="U87" s="67">
        <v>7</v>
      </c>
      <c r="V87" s="67">
        <v>0</v>
      </c>
      <c r="W87" s="67">
        <v>2</v>
      </c>
      <c r="X87" s="67">
        <v>0</v>
      </c>
      <c r="Y87" s="67">
        <v>6</v>
      </c>
      <c r="Z87" s="67">
        <v>0</v>
      </c>
      <c r="AA87" s="67">
        <v>0</v>
      </c>
      <c r="AB87" s="67">
        <v>0</v>
      </c>
      <c r="AC87" s="67">
        <v>4</v>
      </c>
      <c r="AD87" s="67">
        <v>0</v>
      </c>
      <c r="AE87" s="67">
        <v>0</v>
      </c>
      <c r="AF87" s="67">
        <v>0</v>
      </c>
      <c r="AG87" s="67">
        <v>0</v>
      </c>
      <c r="AH87" s="67">
        <v>0</v>
      </c>
      <c r="AI87" s="67">
        <v>3</v>
      </c>
      <c r="AJ87" s="67">
        <v>0</v>
      </c>
      <c r="AK87" s="67">
        <v>0</v>
      </c>
      <c r="AL87" s="67">
        <v>0</v>
      </c>
      <c r="AM87" s="67">
        <v>0</v>
      </c>
      <c r="AN87" s="67">
        <v>0</v>
      </c>
      <c r="AO87" s="67">
        <v>0</v>
      </c>
      <c r="AP87" s="67">
        <v>0</v>
      </c>
      <c r="AQ87" s="67">
        <v>0</v>
      </c>
      <c r="AR87" s="67">
        <v>0</v>
      </c>
      <c r="AS87" s="68">
        <v>12</v>
      </c>
      <c r="AT87" s="68">
        <v>14</v>
      </c>
      <c r="AU87" s="407"/>
      <c r="AV87" s="233"/>
      <c r="AW87" s="19" t="s">
        <v>65</v>
      </c>
      <c r="AX87" s="19" t="s">
        <v>65</v>
      </c>
      <c r="AY87" s="19" t="s">
        <v>65</v>
      </c>
      <c r="AZ87" s="19" t="s">
        <v>65</v>
      </c>
      <c r="BA87" s="19" t="s">
        <v>65</v>
      </c>
      <c r="BB87" s="19"/>
      <c r="BC87" s="19" t="s">
        <v>66</v>
      </c>
      <c r="BD87" s="19" t="s">
        <v>66</v>
      </c>
      <c r="BE87" s="19" t="s">
        <v>65</v>
      </c>
      <c r="BF87" s="19" t="s">
        <v>65</v>
      </c>
      <c r="BG87" s="19"/>
      <c r="BH87" s="19"/>
      <c r="BI87" s="19"/>
      <c r="BJ87" s="19" t="s">
        <v>66</v>
      </c>
      <c r="BK87" s="19" t="s">
        <v>66</v>
      </c>
      <c r="BL87" s="19"/>
      <c r="BM87" s="19"/>
      <c r="BN87" s="19"/>
      <c r="BO87" s="19"/>
      <c r="BP87" s="19"/>
      <c r="BQ87" s="19" t="s">
        <v>66</v>
      </c>
      <c r="BR87" s="19"/>
      <c r="BS87" s="19"/>
      <c r="BT87" s="19"/>
      <c r="BU87" s="19"/>
      <c r="BV87" s="19"/>
      <c r="BW87" s="19"/>
      <c r="BX87" s="19" t="s">
        <v>66</v>
      </c>
      <c r="BY87" s="19" t="s">
        <v>66</v>
      </c>
      <c r="BZ87" s="19"/>
      <c r="CA87" s="19" t="s">
        <v>66</v>
      </c>
      <c r="CB87" s="409"/>
    </row>
    <row r="88" spans="1:80" ht="15" customHeight="1" outlineLevel="1">
      <c r="A88" s="42">
        <v>33</v>
      </c>
      <c r="B88" s="47" t="s">
        <v>271</v>
      </c>
      <c r="C88" s="670" t="s">
        <v>76</v>
      </c>
      <c r="D88" s="51" t="s">
        <v>272</v>
      </c>
      <c r="E88" s="51" t="s">
        <v>220</v>
      </c>
      <c r="F88" s="51">
        <v>122001187</v>
      </c>
      <c r="G88" s="51" t="s">
        <v>273</v>
      </c>
      <c r="H88" s="695" t="s">
        <v>88</v>
      </c>
      <c r="I88" s="44" t="s">
        <v>106</v>
      </c>
      <c r="J88" s="430">
        <v>132</v>
      </c>
      <c r="K88" s="45">
        <f t="shared" si="34"/>
        <v>112</v>
      </c>
      <c r="L88" s="46">
        <f t="shared" si="35"/>
        <v>-20</v>
      </c>
      <c r="M88" s="50">
        <v>1</v>
      </c>
      <c r="N88" s="50">
        <v>25</v>
      </c>
      <c r="O88" s="432">
        <v>9.0040927694406552</v>
      </c>
      <c r="P88" s="327" t="s">
        <v>274</v>
      </c>
      <c r="Q88" s="65">
        <v>112</v>
      </c>
      <c r="R88" s="66">
        <v>28</v>
      </c>
      <c r="S88" s="67">
        <v>0</v>
      </c>
      <c r="T88" s="67">
        <v>0</v>
      </c>
      <c r="U88" s="67">
        <v>6</v>
      </c>
      <c r="V88" s="67">
        <v>0</v>
      </c>
      <c r="W88" s="67">
        <v>9</v>
      </c>
      <c r="X88" s="67">
        <v>0</v>
      </c>
      <c r="Y88" s="67">
        <v>4</v>
      </c>
      <c r="Z88" s="67">
        <v>0</v>
      </c>
      <c r="AA88" s="67">
        <v>0</v>
      </c>
      <c r="AB88" s="67">
        <v>0</v>
      </c>
      <c r="AC88" s="67">
        <v>0</v>
      </c>
      <c r="AD88" s="67">
        <v>0</v>
      </c>
      <c r="AE88" s="67">
        <v>0</v>
      </c>
      <c r="AF88" s="67">
        <v>0</v>
      </c>
      <c r="AG88" s="67">
        <v>0</v>
      </c>
      <c r="AH88" s="67">
        <v>0</v>
      </c>
      <c r="AI88" s="67">
        <v>7</v>
      </c>
      <c r="AJ88" s="67">
        <v>0</v>
      </c>
      <c r="AK88" s="67">
        <v>0</v>
      </c>
      <c r="AL88" s="67">
        <v>0</v>
      </c>
      <c r="AM88" s="67">
        <v>2</v>
      </c>
      <c r="AN88" s="67">
        <v>0</v>
      </c>
      <c r="AO88" s="67">
        <v>0</v>
      </c>
      <c r="AP88" s="67">
        <v>0</v>
      </c>
      <c r="AQ88" s="67">
        <v>0</v>
      </c>
      <c r="AR88" s="67">
        <v>0</v>
      </c>
      <c r="AS88" s="68">
        <v>13</v>
      </c>
      <c r="AT88" s="68">
        <v>15</v>
      </c>
      <c r="AU88" s="407"/>
      <c r="AV88" s="233"/>
      <c r="AW88" s="19" t="s">
        <v>65</v>
      </c>
      <c r="AX88" s="19" t="s">
        <v>65</v>
      </c>
      <c r="AY88" s="19"/>
      <c r="AZ88" s="19"/>
      <c r="BA88" s="19" t="s">
        <v>65</v>
      </c>
      <c r="BB88" s="19"/>
      <c r="BC88" s="19" t="s">
        <v>66</v>
      </c>
      <c r="BD88" s="19" t="s">
        <v>66</v>
      </c>
      <c r="BE88" s="19"/>
      <c r="BF88" s="19"/>
      <c r="BG88" s="19"/>
      <c r="BH88" s="19"/>
      <c r="BI88" s="19"/>
      <c r="BJ88" s="19" t="s">
        <v>66</v>
      </c>
      <c r="BK88" s="19" t="s">
        <v>66</v>
      </c>
      <c r="BL88" s="19"/>
      <c r="BM88" s="19"/>
      <c r="BN88" s="19"/>
      <c r="BO88" s="19"/>
      <c r="BP88" s="19"/>
      <c r="BQ88" s="19" t="s">
        <v>66</v>
      </c>
      <c r="BR88" s="19"/>
      <c r="BS88" s="19"/>
      <c r="BT88" s="19"/>
      <c r="BU88" s="19"/>
      <c r="BV88" s="19"/>
      <c r="BW88" s="19"/>
      <c r="BX88" s="19" t="s">
        <v>66</v>
      </c>
      <c r="BY88" s="19" t="s">
        <v>66</v>
      </c>
      <c r="BZ88" s="19"/>
      <c r="CA88" s="19" t="s">
        <v>66</v>
      </c>
      <c r="CB88" s="409"/>
    </row>
    <row r="89" spans="1:80" ht="15" customHeight="1" outlineLevel="1">
      <c r="A89" s="42">
        <v>34</v>
      </c>
      <c r="B89" s="47" t="s">
        <v>275</v>
      </c>
      <c r="C89" s="670" t="s">
        <v>186</v>
      </c>
      <c r="D89" s="51" t="s">
        <v>276</v>
      </c>
      <c r="E89" s="51" t="s">
        <v>216</v>
      </c>
      <c r="F89" s="51">
        <v>122001230</v>
      </c>
      <c r="G89" s="51" t="s">
        <v>273</v>
      </c>
      <c r="H89" s="695" t="s">
        <v>88</v>
      </c>
      <c r="I89" s="44" t="s">
        <v>106</v>
      </c>
      <c r="J89" s="430">
        <v>44</v>
      </c>
      <c r="K89" s="45">
        <f t="shared" ref="K89" si="36">+Q89</f>
        <v>0</v>
      </c>
      <c r="L89" s="46">
        <f t="shared" ref="L89" si="37">+K89-J89</f>
        <v>-44</v>
      </c>
      <c r="M89" s="50">
        <v>16</v>
      </c>
      <c r="N89" s="50">
        <v>18</v>
      </c>
      <c r="O89" s="432">
        <v>3.0013642564802181</v>
      </c>
      <c r="P89" s="653"/>
      <c r="Q89" s="65"/>
      <c r="R89" s="66">
        <f t="shared" si="33"/>
        <v>0</v>
      </c>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8"/>
      <c r="AT89" s="68"/>
      <c r="AU89" s="407"/>
      <c r="AV89" s="233"/>
      <c r="AW89" s="19"/>
      <c r="AX89" s="19"/>
      <c r="AY89" s="19"/>
      <c r="AZ89" s="19"/>
      <c r="BA89" s="19"/>
      <c r="BB89" s="19"/>
      <c r="BC89" s="19" t="s">
        <v>66</v>
      </c>
      <c r="BD89" s="19" t="s">
        <v>66</v>
      </c>
      <c r="BE89" s="19"/>
      <c r="BF89" s="19"/>
      <c r="BG89" s="19"/>
      <c r="BH89" s="19"/>
      <c r="BI89" s="19"/>
      <c r="BJ89" s="19" t="s">
        <v>66</v>
      </c>
      <c r="BK89" s="19" t="s">
        <v>66</v>
      </c>
      <c r="BL89" s="19"/>
      <c r="BM89" s="19"/>
      <c r="BN89" s="19"/>
      <c r="BO89" s="19"/>
      <c r="BP89" s="19"/>
      <c r="BQ89" s="19" t="s">
        <v>66</v>
      </c>
      <c r="BR89" s="19"/>
      <c r="BS89" s="19"/>
      <c r="BT89" s="19"/>
      <c r="BU89" s="19"/>
      <c r="BV89" s="19"/>
      <c r="BW89" s="19"/>
      <c r="BX89" s="19" t="s">
        <v>66</v>
      </c>
      <c r="BY89" s="19" t="s">
        <v>66</v>
      </c>
      <c r="BZ89" s="19"/>
      <c r="CA89" s="19" t="s">
        <v>66</v>
      </c>
      <c r="CB89" s="409"/>
    </row>
    <row r="90" spans="1:80" ht="15" customHeight="1" outlineLevel="1">
      <c r="A90" s="42">
        <v>35</v>
      </c>
      <c r="B90" s="47" t="s">
        <v>277</v>
      </c>
      <c r="C90" s="670" t="s">
        <v>76</v>
      </c>
      <c r="D90" s="51" t="s">
        <v>259</v>
      </c>
      <c r="E90" s="51" t="s">
        <v>220</v>
      </c>
      <c r="F90" s="51">
        <v>122001221</v>
      </c>
      <c r="G90" s="51" t="s">
        <v>256</v>
      </c>
      <c r="H90" s="695" t="s">
        <v>88</v>
      </c>
      <c r="I90" s="44" t="s">
        <v>106</v>
      </c>
      <c r="J90" s="430">
        <v>132</v>
      </c>
      <c r="K90" s="45">
        <f t="shared" si="34"/>
        <v>64</v>
      </c>
      <c r="L90" s="46">
        <f t="shared" si="35"/>
        <v>-68</v>
      </c>
      <c r="M90" s="50">
        <v>3</v>
      </c>
      <c r="N90" s="50">
        <v>26</v>
      </c>
      <c r="O90" s="432">
        <v>9.0040927694406552</v>
      </c>
      <c r="P90" s="327" t="s">
        <v>278</v>
      </c>
      <c r="Q90" s="65">
        <v>64</v>
      </c>
      <c r="R90" s="66">
        <f t="shared" si="33"/>
        <v>17</v>
      </c>
      <c r="S90" s="67">
        <v>2</v>
      </c>
      <c r="T90" s="67">
        <v>0</v>
      </c>
      <c r="U90" s="67">
        <v>1</v>
      </c>
      <c r="V90" s="67">
        <v>0</v>
      </c>
      <c r="W90" s="67">
        <v>5</v>
      </c>
      <c r="X90" s="67">
        <v>0</v>
      </c>
      <c r="Y90" s="67">
        <v>3</v>
      </c>
      <c r="Z90" s="67">
        <v>0</v>
      </c>
      <c r="AA90" s="67">
        <v>0</v>
      </c>
      <c r="AB90" s="67">
        <v>0</v>
      </c>
      <c r="AC90" s="67">
        <v>0</v>
      </c>
      <c r="AD90" s="67">
        <v>0</v>
      </c>
      <c r="AE90" s="67">
        <v>0</v>
      </c>
      <c r="AF90" s="67">
        <v>0</v>
      </c>
      <c r="AG90" s="67">
        <v>1</v>
      </c>
      <c r="AH90" s="67">
        <v>0</v>
      </c>
      <c r="AI90" s="67">
        <v>5</v>
      </c>
      <c r="AJ90" s="67">
        <v>0</v>
      </c>
      <c r="AK90" s="67">
        <v>0</v>
      </c>
      <c r="AL90" s="67">
        <v>0</v>
      </c>
      <c r="AM90" s="67">
        <v>0</v>
      </c>
      <c r="AN90" s="67">
        <v>0</v>
      </c>
      <c r="AO90" s="67">
        <v>0</v>
      </c>
      <c r="AP90" s="67">
        <v>0</v>
      </c>
      <c r="AQ90" s="67">
        <v>0</v>
      </c>
      <c r="AR90" s="67">
        <v>0</v>
      </c>
      <c r="AS90" s="68">
        <v>11</v>
      </c>
      <c r="AT90" s="68">
        <v>6</v>
      </c>
      <c r="AU90" s="407"/>
      <c r="AV90" s="233"/>
      <c r="AW90" s="19"/>
      <c r="AX90" s="19"/>
      <c r="AY90" s="19" t="s">
        <v>65</v>
      </c>
      <c r="AZ90" s="19" t="s">
        <v>65</v>
      </c>
      <c r="BA90" s="19"/>
      <c r="BB90" s="19"/>
      <c r="BC90" s="19" t="s">
        <v>66</v>
      </c>
      <c r="BD90" s="19" t="s">
        <v>66</v>
      </c>
      <c r="BE90" s="19"/>
      <c r="BF90" s="19" t="s">
        <v>65</v>
      </c>
      <c r="BG90" s="19" t="s">
        <v>65</v>
      </c>
      <c r="BH90" s="19"/>
      <c r="BI90" s="19"/>
      <c r="BJ90" s="19" t="s">
        <v>66</v>
      </c>
      <c r="BK90" s="19" t="s">
        <v>66</v>
      </c>
      <c r="BL90" s="19"/>
      <c r="BM90" s="19" t="s">
        <v>65</v>
      </c>
      <c r="BN90" s="19" t="s">
        <v>65</v>
      </c>
      <c r="BO90" s="19"/>
      <c r="BP90" s="19"/>
      <c r="BQ90" s="19" t="s">
        <v>66</v>
      </c>
      <c r="BR90" s="19"/>
      <c r="BS90" s="19"/>
      <c r="BT90" s="19"/>
      <c r="BU90" s="19"/>
      <c r="BV90" s="19"/>
      <c r="BW90" s="19"/>
      <c r="BX90" s="19" t="s">
        <v>66</v>
      </c>
      <c r="BY90" s="19" t="s">
        <v>66</v>
      </c>
      <c r="BZ90" s="19"/>
      <c r="CA90" s="19" t="s">
        <v>66</v>
      </c>
      <c r="CB90" s="409"/>
    </row>
    <row r="91" spans="1:80" s="17" customFormat="1" ht="15" customHeight="1" outlineLevel="1">
      <c r="A91" s="42"/>
      <c r="B91" s="55" t="s">
        <v>279</v>
      </c>
      <c r="C91" s="56"/>
      <c r="D91" s="56"/>
      <c r="E91" s="56"/>
      <c r="F91" s="56"/>
      <c r="G91" s="56"/>
      <c r="H91" s="697"/>
      <c r="I91" s="56"/>
      <c r="J91" s="56"/>
      <c r="K91" s="56"/>
      <c r="L91" s="56"/>
      <c r="M91" s="56"/>
      <c r="N91" s="56"/>
      <c r="O91" s="57"/>
      <c r="P91" s="329"/>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410">
        <f>IFERROR(SUMIF(AU92:AU94,"OK",CB92:CB94)/COUNTA(B92:B94),0)</f>
        <v>0</v>
      </c>
      <c r="AV91" s="232" t="e">
        <f>AVERAGE(AV92:AV94)</f>
        <v>#DIV/0!</v>
      </c>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61"/>
      <c r="CB91" s="409"/>
    </row>
    <row r="92" spans="1:80" ht="15" hidden="1" customHeight="1" outlineLevel="1">
      <c r="A92" s="42">
        <v>1</v>
      </c>
      <c r="B92" s="47" t="s">
        <v>280</v>
      </c>
      <c r="C92" s="59"/>
      <c r="D92" s="51" t="s">
        <v>281</v>
      </c>
      <c r="E92" s="51" t="s">
        <v>282</v>
      </c>
      <c r="F92" s="51">
        <v>122001151</v>
      </c>
      <c r="G92" s="51" t="s">
        <v>283</v>
      </c>
      <c r="H92" s="694" t="s">
        <v>62</v>
      </c>
      <c r="I92" s="52" t="s">
        <v>63</v>
      </c>
      <c r="J92" s="433"/>
      <c r="K92" s="147">
        <f>+Q92</f>
        <v>0</v>
      </c>
      <c r="L92" s="147"/>
      <c r="M92" s="53"/>
      <c r="N92" s="54"/>
      <c r="O92" s="64"/>
      <c r="P92" s="327"/>
      <c r="Q92" s="65"/>
      <c r="R92" s="66">
        <f>+S92+U92+W92+Y92+AC92+AE92+AG92+AI92+AK92+AM92+AO92+AQ92</f>
        <v>0</v>
      </c>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75"/>
      <c r="AT92" s="68"/>
      <c r="AU92" s="407"/>
      <c r="AV92" s="233"/>
      <c r="AW92" s="19"/>
      <c r="AX92" s="19"/>
      <c r="AY92" s="19"/>
      <c r="AZ92" s="19"/>
      <c r="BA92" s="19"/>
      <c r="BB92" s="19"/>
      <c r="BC92" s="19" t="s">
        <v>66</v>
      </c>
      <c r="BD92" s="19" t="s">
        <v>66</v>
      </c>
      <c r="BE92" s="19"/>
      <c r="BF92" s="19"/>
      <c r="BG92" s="19"/>
      <c r="BH92" s="19"/>
      <c r="BI92" s="19"/>
      <c r="BJ92" s="19" t="s">
        <v>66</v>
      </c>
      <c r="BK92" s="19" t="s">
        <v>66</v>
      </c>
      <c r="BL92" s="19"/>
      <c r="BM92" s="19"/>
      <c r="BN92" s="19"/>
      <c r="BO92" s="19"/>
      <c r="BP92" s="19"/>
      <c r="BQ92" s="19" t="s">
        <v>66</v>
      </c>
      <c r="BR92" s="19"/>
      <c r="BS92" s="19"/>
      <c r="BT92" s="19"/>
      <c r="BU92" s="19"/>
      <c r="BV92" s="19"/>
      <c r="BW92" s="19"/>
      <c r="BX92" s="19" t="s">
        <v>66</v>
      </c>
      <c r="BY92" s="19" t="s">
        <v>66</v>
      </c>
      <c r="BZ92" s="19"/>
      <c r="CA92" s="19"/>
      <c r="CB92" s="409">
        <f t="shared" si="21"/>
        <v>0</v>
      </c>
    </row>
    <row r="93" spans="1:80" ht="15" hidden="1" customHeight="1" outlineLevel="1">
      <c r="A93" s="42">
        <v>2</v>
      </c>
      <c r="B93" s="47" t="s">
        <v>284</v>
      </c>
      <c r="C93" s="59"/>
      <c r="D93" s="51" t="s">
        <v>285</v>
      </c>
      <c r="E93" s="51" t="s">
        <v>282</v>
      </c>
      <c r="F93" s="51">
        <v>122001148</v>
      </c>
      <c r="G93" s="51" t="s">
        <v>283</v>
      </c>
      <c r="H93" s="694" t="s">
        <v>62</v>
      </c>
      <c r="I93" s="48" t="s">
        <v>63</v>
      </c>
      <c r="J93" s="433"/>
      <c r="K93" s="147">
        <f t="shared" ref="K93:K94" si="38">+Q93</f>
        <v>0</v>
      </c>
      <c r="L93" s="147"/>
      <c r="M93" s="53"/>
      <c r="N93" s="54"/>
      <c r="O93" s="64"/>
      <c r="P93" s="327"/>
      <c r="Q93" s="65"/>
      <c r="R93" s="66">
        <f>+S93+U93+W93+Y93+AC93+AE93+AG93+AI93+AK93+AM93+AO93+AQ93</f>
        <v>0</v>
      </c>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8"/>
      <c r="AT93" s="68"/>
      <c r="AU93" s="407"/>
      <c r="AV93" s="233"/>
      <c r="AW93" s="19"/>
      <c r="AX93" s="19"/>
      <c r="AY93" s="19"/>
      <c r="AZ93" s="19"/>
      <c r="BA93" s="19"/>
      <c r="BB93" s="19"/>
      <c r="BC93" s="19" t="s">
        <v>66</v>
      </c>
      <c r="BD93" s="19" t="s">
        <v>66</v>
      </c>
      <c r="BE93" s="19"/>
      <c r="BF93" s="19"/>
      <c r="BG93" s="19"/>
      <c r="BH93" s="19"/>
      <c r="BI93" s="19"/>
      <c r="BJ93" s="19" t="s">
        <v>66</v>
      </c>
      <c r="BK93" s="19" t="s">
        <v>66</v>
      </c>
      <c r="BL93" s="19"/>
      <c r="BM93" s="19"/>
      <c r="BN93" s="19"/>
      <c r="BO93" s="19"/>
      <c r="BP93" s="19"/>
      <c r="BQ93" s="19" t="s">
        <v>66</v>
      </c>
      <c r="BR93" s="19"/>
      <c r="BS93" s="19"/>
      <c r="BT93" s="19"/>
      <c r="BU93" s="19"/>
      <c r="BV93" s="19"/>
      <c r="BW93" s="19"/>
      <c r="BX93" s="19" t="s">
        <v>66</v>
      </c>
      <c r="BY93" s="19" t="s">
        <v>66</v>
      </c>
      <c r="BZ93" s="19"/>
      <c r="CA93" s="19"/>
      <c r="CB93" s="409">
        <f t="shared" si="21"/>
        <v>0</v>
      </c>
    </row>
    <row r="94" spans="1:80" ht="15" hidden="1" customHeight="1" outlineLevel="1">
      <c r="A94" s="42">
        <v>3</v>
      </c>
      <c r="B94" s="47" t="s">
        <v>286</v>
      </c>
      <c r="C94" s="59"/>
      <c r="D94" s="51" t="s">
        <v>287</v>
      </c>
      <c r="E94" s="51" t="s">
        <v>282</v>
      </c>
      <c r="F94" s="51">
        <v>122001150</v>
      </c>
      <c r="G94" s="51" t="s">
        <v>283</v>
      </c>
      <c r="H94" s="694" t="s">
        <v>62</v>
      </c>
      <c r="I94" s="48" t="s">
        <v>63</v>
      </c>
      <c r="J94" s="433"/>
      <c r="K94" s="147">
        <f t="shared" si="38"/>
        <v>0</v>
      </c>
      <c r="L94" s="147"/>
      <c r="M94" s="53"/>
      <c r="N94" s="54"/>
      <c r="O94" s="64"/>
      <c r="P94" s="327"/>
      <c r="Q94" s="65"/>
      <c r="R94" s="66">
        <f>+S94+U94+W94+Y94+AC94+AE94+AG94+AI94+AK94+AM94+AO94+AQ94</f>
        <v>0</v>
      </c>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8"/>
      <c r="AT94" s="68"/>
      <c r="AU94" s="407"/>
      <c r="AV94" s="233"/>
      <c r="AW94" s="19"/>
      <c r="AX94" s="19"/>
      <c r="AY94" s="19"/>
      <c r="AZ94" s="19"/>
      <c r="BA94" s="19"/>
      <c r="BB94" s="19"/>
      <c r="BC94" s="19" t="s">
        <v>66</v>
      </c>
      <c r="BD94" s="19" t="s">
        <v>66</v>
      </c>
      <c r="BE94" s="19"/>
      <c r="BF94" s="19"/>
      <c r="BG94" s="19"/>
      <c r="BH94" s="19"/>
      <c r="BI94" s="19"/>
      <c r="BJ94" s="19" t="s">
        <v>66</v>
      </c>
      <c r="BK94" s="19" t="s">
        <v>66</v>
      </c>
      <c r="BL94" s="19"/>
      <c r="BM94" s="19"/>
      <c r="BN94" s="19"/>
      <c r="BO94" s="19"/>
      <c r="BP94" s="19"/>
      <c r="BQ94" s="19" t="s">
        <v>66</v>
      </c>
      <c r="BR94" s="19"/>
      <c r="BS94" s="19"/>
      <c r="BT94" s="19"/>
      <c r="BU94" s="19"/>
      <c r="BV94" s="19"/>
      <c r="BW94" s="19"/>
      <c r="BX94" s="19" t="s">
        <v>66</v>
      </c>
      <c r="BY94" s="19" t="s">
        <v>66</v>
      </c>
      <c r="BZ94" s="19"/>
      <c r="CA94" s="19"/>
      <c r="CB94" s="409">
        <f t="shared" si="21"/>
        <v>0</v>
      </c>
    </row>
    <row r="95" spans="1:80" s="17" customFormat="1" ht="21" outlineLevel="1">
      <c r="A95" s="42"/>
      <c r="B95" s="23"/>
      <c r="C95" s="31"/>
      <c r="D95" s="725" t="s">
        <v>288</v>
      </c>
      <c r="E95" s="725"/>
      <c r="F95" s="725"/>
      <c r="G95" s="725"/>
      <c r="H95" s="725"/>
      <c r="I95" s="70"/>
      <c r="J95" s="71">
        <f>SUBTOTAL(9,J7:J94)</f>
        <v>6850.92</v>
      </c>
      <c r="K95" s="71">
        <f>SUBTOTAL(9,K7:K94)</f>
        <v>5597.8</v>
      </c>
      <c r="L95" s="71">
        <f>SUBTOTAL(9,L7:L94)</f>
        <v>-1253.1200000000003</v>
      </c>
      <c r="M95" s="726"/>
      <c r="N95" s="727"/>
      <c r="O95" s="728"/>
      <c r="P95" s="330"/>
      <c r="Q95" s="81">
        <f>SUBTOTAL(9,Q7:Q94)</f>
        <v>5597.8</v>
      </c>
      <c r="R95" s="81">
        <f>SUBTOTAL(9,R7:R94)</f>
        <v>1687</v>
      </c>
      <c r="S95" s="202">
        <f t="shared" ref="S95:AT95" si="39">SUBTOTAL(9,S6:S94)</f>
        <v>160</v>
      </c>
      <c r="T95" s="83">
        <f t="shared" si="39"/>
        <v>0</v>
      </c>
      <c r="U95" s="202">
        <f t="shared" si="39"/>
        <v>238</v>
      </c>
      <c r="V95" s="83">
        <f t="shared" si="39"/>
        <v>0</v>
      </c>
      <c r="W95" s="202">
        <f t="shared" si="39"/>
        <v>348</v>
      </c>
      <c r="X95" s="83">
        <f t="shared" si="39"/>
        <v>0</v>
      </c>
      <c r="Y95" s="202">
        <f t="shared" si="39"/>
        <v>179</v>
      </c>
      <c r="Z95" s="83">
        <f t="shared" si="39"/>
        <v>0</v>
      </c>
      <c r="AA95" s="202">
        <f t="shared" si="39"/>
        <v>203</v>
      </c>
      <c r="AB95" s="83">
        <f t="shared" si="39"/>
        <v>0</v>
      </c>
      <c r="AC95" s="202">
        <f t="shared" si="39"/>
        <v>109</v>
      </c>
      <c r="AD95" s="83">
        <f t="shared" si="39"/>
        <v>0</v>
      </c>
      <c r="AE95" s="202">
        <f t="shared" si="39"/>
        <v>92</v>
      </c>
      <c r="AF95" s="83">
        <f t="shared" si="39"/>
        <v>0</v>
      </c>
      <c r="AG95" s="202">
        <f t="shared" si="39"/>
        <v>51</v>
      </c>
      <c r="AH95" s="83">
        <f t="shared" si="39"/>
        <v>0</v>
      </c>
      <c r="AI95" s="202">
        <f t="shared" si="39"/>
        <v>169</v>
      </c>
      <c r="AJ95" s="83">
        <f t="shared" si="39"/>
        <v>0</v>
      </c>
      <c r="AK95" s="202">
        <f t="shared" si="39"/>
        <v>13</v>
      </c>
      <c r="AL95" s="83">
        <f t="shared" si="39"/>
        <v>0</v>
      </c>
      <c r="AM95" s="202">
        <f t="shared" si="39"/>
        <v>78</v>
      </c>
      <c r="AN95" s="83">
        <f t="shared" si="39"/>
        <v>0</v>
      </c>
      <c r="AO95" s="202">
        <f t="shared" si="39"/>
        <v>22</v>
      </c>
      <c r="AP95" s="83">
        <f t="shared" si="39"/>
        <v>0</v>
      </c>
      <c r="AQ95" s="202">
        <f t="shared" si="39"/>
        <v>2</v>
      </c>
      <c r="AR95" s="83">
        <f t="shared" si="39"/>
        <v>0</v>
      </c>
      <c r="AS95" s="82">
        <f t="shared" si="39"/>
        <v>712</v>
      </c>
      <c r="AT95" s="82">
        <f t="shared" si="39"/>
        <v>952</v>
      </c>
      <c r="AU95" s="82"/>
      <c r="AV95" s="234" t="e">
        <f>AVERAGE(AV91,AV55,AV33,AV6)</f>
        <v>#DIV/0!</v>
      </c>
      <c r="AW95"/>
      <c r="AX95"/>
      <c r="AY95"/>
      <c r="AZ95"/>
      <c r="BA95"/>
      <c r="BB95"/>
      <c r="BC95"/>
      <c r="BD95"/>
      <c r="BE95"/>
      <c r="BF95"/>
      <c r="BG95"/>
      <c r="BH95"/>
      <c r="BI95"/>
      <c r="BJ95"/>
      <c r="BK95"/>
      <c r="BL95"/>
      <c r="BM95"/>
      <c r="BN95"/>
      <c r="BO95"/>
      <c r="BP95"/>
      <c r="BQ95"/>
      <c r="BR95"/>
      <c r="BS95"/>
      <c r="BT95"/>
      <c r="BU95"/>
      <c r="BV95"/>
      <c r="BW95"/>
      <c r="BX95"/>
      <c r="BY95"/>
      <c r="BZ95"/>
      <c r="CA95"/>
      <c r="CB95" s="408"/>
    </row>
    <row r="97" spans="2:48">
      <c r="B97" s="2" t="s">
        <v>289</v>
      </c>
      <c r="Q97" s="72"/>
      <c r="R97" s="72"/>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235"/>
    </row>
  </sheetData>
  <autoFilter ref="A6:CB94" xr:uid="{00000000-0001-0000-0000-000000000000}">
    <filterColumn colId="2">
      <filters>
        <filter val="Sebastian andres padilla"/>
      </filters>
    </filterColumn>
  </autoFilter>
  <mergeCells count="54">
    <mergeCell ref="D95:H95"/>
    <mergeCell ref="M95:O95"/>
    <mergeCell ref="J3:J5"/>
    <mergeCell ref="AS3:AS5"/>
    <mergeCell ref="S3:S5"/>
    <mergeCell ref="U3:U5"/>
    <mergeCell ref="H3:H5"/>
    <mergeCell ref="I3:I5"/>
    <mergeCell ref="T3:T5"/>
    <mergeCell ref="V3:V5"/>
    <mergeCell ref="X3:X5"/>
    <mergeCell ref="Z3:Z5"/>
    <mergeCell ref="AA3:AA5"/>
    <mergeCell ref="Y3:Y5"/>
    <mergeCell ref="AB3:AB5"/>
    <mergeCell ref="AD3:AD5"/>
    <mergeCell ref="BE3:BL3"/>
    <mergeCell ref="D3:D5"/>
    <mergeCell ref="E3:E5"/>
    <mergeCell ref="F3:F5"/>
    <mergeCell ref="R3:R5"/>
    <mergeCell ref="AU3:AU5"/>
    <mergeCell ref="AF3:AF5"/>
    <mergeCell ref="AH3:AH5"/>
    <mergeCell ref="AJ3:AJ5"/>
    <mergeCell ref="AL3:AL5"/>
    <mergeCell ref="AN3:AN5"/>
    <mergeCell ref="AO3:AO5"/>
    <mergeCell ref="AP3:AP5"/>
    <mergeCell ref="AR3:AR5"/>
    <mergeCell ref="AW3:BD3"/>
    <mergeCell ref="AC3:AC5"/>
    <mergeCell ref="AE3:AE5"/>
    <mergeCell ref="AG3:AG5"/>
    <mergeCell ref="AI3:AI5"/>
    <mergeCell ref="AT3:AT5"/>
    <mergeCell ref="AK3:AK5"/>
    <mergeCell ref="AM3:AM5"/>
    <mergeCell ref="AW2:AY2"/>
    <mergeCell ref="B1:AT2"/>
    <mergeCell ref="AQ3:AQ5"/>
    <mergeCell ref="BT3:CA3"/>
    <mergeCell ref="B3:B5"/>
    <mergeCell ref="W3:W5"/>
    <mergeCell ref="K3:K5"/>
    <mergeCell ref="L3:L5"/>
    <mergeCell ref="M3:M5"/>
    <mergeCell ref="N3:N5"/>
    <mergeCell ref="G3:G5"/>
    <mergeCell ref="C3:C5"/>
    <mergeCell ref="BM3:BS3"/>
    <mergeCell ref="O3:O5"/>
    <mergeCell ref="P3:P5"/>
    <mergeCell ref="Q3:Q5"/>
  </mergeCells>
  <conditionalFormatting sqref="B1 B3 B6:B1048576">
    <cfRule type="duplicateValues" dxfId="245" priority="24496"/>
  </conditionalFormatting>
  <conditionalFormatting sqref="B15">
    <cfRule type="duplicateValues" dxfId="244" priority="16"/>
  </conditionalFormatting>
  <conditionalFormatting sqref="B25">
    <cfRule type="duplicateValues" dxfId="243" priority="24492"/>
    <cfRule type="duplicateValues" dxfId="242" priority="24493"/>
    <cfRule type="duplicateValues" dxfId="241" priority="24494"/>
    <cfRule type="duplicateValues" dxfId="240" priority="24495"/>
  </conditionalFormatting>
  <conditionalFormatting sqref="AU1:AU1048576">
    <cfRule type="containsText" dxfId="239" priority="47" operator="containsText" text="OK">
      <formula>NOT(ISERROR(SEARCH("OK",AU1)))</formula>
    </cfRule>
  </conditionalFormatting>
  <conditionalFormatting sqref="AV33">
    <cfRule type="containsText" dxfId="238" priority="7" operator="containsText" text="OK">
      <formula>NOT(ISERROR(SEARCH("OK",AV33)))</formula>
    </cfRule>
  </conditionalFormatting>
  <conditionalFormatting sqref="AW7:BZ32 AW34:BZ54 AW56:BZ90 AW92:BZ94">
    <cfRule type="expression" dxfId="237" priority="172">
      <formula>PorcentajeCompletado</formula>
    </cfRule>
    <cfRule type="expression" dxfId="236" priority="173">
      <formula>ExcesoPorcentajeCompletado</formula>
    </cfRule>
    <cfRule type="expression" dxfId="235" priority="174">
      <formula>Real</formula>
    </cfRule>
    <cfRule type="expression" dxfId="234" priority="175">
      <formula>ExcesoReal</formula>
    </cfRule>
    <cfRule type="expression" dxfId="233" priority="176">
      <formula>Plan</formula>
    </cfRule>
    <cfRule type="expression" dxfId="232" priority="177">
      <formula>BW$4=período_seleccionado</formula>
    </cfRule>
  </conditionalFormatting>
  <conditionalFormatting sqref="AW5:CA5 AW7:CA32 AW34:CA54 AW56:CA90 AW92:CA94">
    <cfRule type="expression" dxfId="231" priority="66">
      <formula>MOD(COLUMN(),2)=0</formula>
    </cfRule>
    <cfRule type="expression" dxfId="230" priority="166">
      <formula>PorcentajeCompletado</formula>
    </cfRule>
    <cfRule type="expression" dxfId="229" priority="167">
      <formula>ExcesoPorcentajeCompletado</formula>
    </cfRule>
    <cfRule type="expression" dxfId="228" priority="168">
      <formula>Real</formula>
    </cfRule>
    <cfRule type="expression" dxfId="227" priority="169">
      <formula>ExcesoReal</formula>
    </cfRule>
    <cfRule type="expression" dxfId="226" priority="170">
      <formula>Plan</formula>
    </cfRule>
    <cfRule type="expression" dxfId="225" priority="171">
      <formula>AW$4=período_seleccionado</formula>
    </cfRule>
  </conditionalFormatting>
  <conditionalFormatting sqref="AW7:CA32 AW34:CA54 AW56:CA90 AW92:CA94 AW5:CA5">
    <cfRule type="expression" dxfId="224" priority="65">
      <formula>MOD(COLUMN(),2)</formula>
    </cfRule>
  </conditionalFormatting>
  <conditionalFormatting sqref="AW4:CB4">
    <cfRule type="expression" dxfId="223" priority="24436">
      <formula>AW$4=período_seleccionado</formula>
    </cfRule>
  </conditionalFormatting>
  <conditionalFormatting sqref="BD2">
    <cfRule type="expression" dxfId="222" priority="24437">
      <formula>PorcentajeCompletado</formula>
    </cfRule>
    <cfRule type="expression" dxfId="221" priority="24438">
      <formula>ExcesoPorcentajeCompletado</formula>
    </cfRule>
    <cfRule type="expression" dxfId="220" priority="24439">
      <formula>Real</formula>
    </cfRule>
    <cfRule type="expression" dxfId="219" priority="24440">
      <formula>ExcesoReal</formula>
    </cfRule>
    <cfRule type="expression" dxfId="218" priority="24441">
      <formula>Plan</formula>
    </cfRule>
    <cfRule type="expression" dxfId="217" priority="24442">
      <formula>BC$4=período_seleccionado</formula>
    </cfRule>
    <cfRule type="expression" dxfId="216" priority="24443">
      <formula>MOD(COLUMN(),2)</formula>
    </cfRule>
    <cfRule type="expression" dxfId="215" priority="24444">
      <formula>MOD(COLUMN(),2)=0</formula>
    </cfRule>
  </conditionalFormatting>
  <conditionalFormatting sqref="BG7:BH32 BG34:BH54 BG56:BH90 BG92:BH94">
    <cfRule type="expression" dxfId="214" priority="24829">
      <formula>#REF!=período_seleccionado</formula>
    </cfRule>
  </conditionalFormatting>
  <conditionalFormatting sqref="BN7:BN32 BN34:BN54 BN56:BN90 BN92:BN94">
    <cfRule type="expression" dxfId="213" priority="24843">
      <formula>PorcentajeCompletado</formula>
    </cfRule>
    <cfRule type="expression" dxfId="212" priority="24844">
      <formula>ExcesoPorcentajeCompletado</formula>
    </cfRule>
    <cfRule type="expression" dxfId="211" priority="24845">
      <formula>Real</formula>
    </cfRule>
    <cfRule type="expression" dxfId="210" priority="24846">
      <formula>ExcesoReal</formula>
    </cfRule>
    <cfRule type="expression" dxfId="209" priority="24847">
      <formula>Plan</formula>
    </cfRule>
    <cfRule type="expression" dxfId="208" priority="24848">
      <formula>BN$4=período_seleccionado</formula>
    </cfRule>
    <cfRule type="expression" dxfId="207" priority="24849">
      <formula>BP$4=período_seleccionado</formula>
    </cfRule>
    <cfRule type="expression" dxfId="206" priority="24850">
      <formula>PorcentajeCompletado</formula>
    </cfRule>
    <cfRule type="expression" dxfId="205" priority="24851">
      <formula>ExcesoPorcentajeCompletado</formula>
    </cfRule>
    <cfRule type="expression" dxfId="204" priority="24852">
      <formula>Real</formula>
    </cfRule>
    <cfRule type="expression" dxfId="203" priority="24853">
      <formula>ExcesoReal</formula>
    </cfRule>
    <cfRule type="expression" dxfId="202" priority="24854">
      <formula>Plan</formula>
    </cfRule>
    <cfRule type="expression" dxfId="201" priority="24855">
      <formula>CD$4=período_seleccionado</formula>
    </cfRule>
  </conditionalFormatting>
  <conditionalFormatting sqref="BO7:BO32 BU7:BU32 BO34:BO54 BU34:BU54 BO56:BO90 BU56:BU90 BO92:BO94 BU92:BU94">
    <cfRule type="expression" dxfId="200" priority="24497">
      <formula>CC$4=período_seleccionado</formula>
    </cfRule>
  </conditionalFormatting>
  <conditionalFormatting sqref="BX7:BY32 BX34:BY54 BX56:BY90 BX92:BY94">
    <cfRule type="expression" dxfId="199" priority="1">
      <formula>PorcentajeCompletado</formula>
    </cfRule>
    <cfRule type="expression" dxfId="198" priority="2">
      <formula>ExcesoPorcentajeCompletado</formula>
    </cfRule>
    <cfRule type="expression" dxfId="197" priority="3">
      <formula>Real</formula>
    </cfRule>
    <cfRule type="expression" dxfId="196" priority="4">
      <formula>ExcesoReal</formula>
    </cfRule>
    <cfRule type="expression" dxfId="195" priority="5">
      <formula>Plan</formula>
    </cfRule>
    <cfRule type="expression" dxfId="194" priority="6">
      <formula>CL$4=período_seleccionado</formula>
    </cfRule>
  </conditionalFormatting>
  <conditionalFormatting sqref="CB5">
    <cfRule type="expression" dxfId="193" priority="163">
      <formula>CB$5=período_seleccionado</formula>
    </cfRule>
  </conditionalFormatting>
  <printOptions horizontalCentered="1" verticalCentered="1"/>
  <pageMargins left="1.2204724409448819" right="0.23622047244094491" top="0.74803149606299213" bottom="0.74803149606299213" header="0.31496062992125984" footer="0.31496062992125984"/>
  <pageSetup scale="34" fitToHeight="0" orientation="landscape" r:id="rId1"/>
  <rowBreaks count="1" manualBreakCount="1">
    <brk id="5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Número 5">
              <controlPr defaultSize="0" print="0" autoPict="0" altText="Control circular de resaltado de período">
                <anchor moveWithCells="1" sizeWithCells="1">
                  <from>
                    <xdr:col>52</xdr:col>
                    <xdr:colOff>0</xdr:colOff>
                    <xdr:row>1</xdr:row>
                    <xdr:rowOff>7620</xdr:rowOff>
                  </from>
                  <to>
                    <xdr:col>53</xdr:col>
                    <xdr:colOff>7620</xdr:colOff>
                    <xdr:row>1</xdr:row>
                    <xdr:rowOff>266700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849B-3699-4359-BCC3-F80FF575A677}">
  <dimension ref="A1:I118"/>
  <sheetViews>
    <sheetView workbookViewId="0"/>
  </sheetViews>
  <sheetFormatPr defaultRowHeight="15"/>
  <sheetData>
    <row r="1" spans="1:9">
      <c r="A1" t="s">
        <v>290</v>
      </c>
      <c r="B1" t="s">
        <v>291</v>
      </c>
      <c r="C1" t="s">
        <v>292</v>
      </c>
      <c r="D1" t="s">
        <v>11</v>
      </c>
      <c r="E1" t="s">
        <v>12</v>
      </c>
      <c r="F1" t="s">
        <v>293</v>
      </c>
      <c r="G1" t="s">
        <v>294</v>
      </c>
      <c r="H1" t="s">
        <v>13</v>
      </c>
      <c r="I1" t="s">
        <v>295</v>
      </c>
    </row>
    <row r="2" spans="1:9">
      <c r="A2">
        <v>1</v>
      </c>
      <c r="B2" t="s">
        <v>201</v>
      </c>
      <c r="C2" t="s">
        <v>202</v>
      </c>
      <c r="D2">
        <v>122001327</v>
      </c>
      <c r="E2" t="s">
        <v>203</v>
      </c>
      <c r="F2" t="s">
        <v>296</v>
      </c>
      <c r="G2" t="s">
        <v>199</v>
      </c>
      <c r="H2" t="s">
        <v>62</v>
      </c>
      <c r="I2" t="s">
        <v>186</v>
      </c>
    </row>
    <row r="3" spans="1:9">
      <c r="A3">
        <v>2</v>
      </c>
      <c r="B3" t="s">
        <v>236</v>
      </c>
      <c r="C3" t="s">
        <v>202</v>
      </c>
      <c r="D3">
        <v>122001328</v>
      </c>
      <c r="E3" t="s">
        <v>203</v>
      </c>
      <c r="F3" t="s">
        <v>296</v>
      </c>
      <c r="G3" t="s">
        <v>188</v>
      </c>
      <c r="H3" t="s">
        <v>297</v>
      </c>
      <c r="I3" t="s">
        <v>186</v>
      </c>
    </row>
    <row r="4" spans="1:9">
      <c r="A4">
        <v>3</v>
      </c>
      <c r="B4" t="s">
        <v>252</v>
      </c>
      <c r="C4" t="s">
        <v>202</v>
      </c>
      <c r="D4">
        <v>122001326</v>
      </c>
      <c r="E4" t="s">
        <v>203</v>
      </c>
      <c r="F4" t="s">
        <v>298</v>
      </c>
      <c r="G4" t="s">
        <v>220</v>
      </c>
      <c r="H4" t="s">
        <v>297</v>
      </c>
      <c r="I4" t="s">
        <v>76</v>
      </c>
    </row>
    <row r="5" spans="1:9">
      <c r="A5">
        <v>4</v>
      </c>
      <c r="B5" t="s">
        <v>238</v>
      </c>
      <c r="C5" t="s">
        <v>202</v>
      </c>
      <c r="D5">
        <v>122001329</v>
      </c>
      <c r="E5" t="s">
        <v>203</v>
      </c>
      <c r="F5" t="s">
        <v>296</v>
      </c>
      <c r="G5" t="s">
        <v>299</v>
      </c>
      <c r="H5" t="s">
        <v>297</v>
      </c>
      <c r="I5" t="s">
        <v>186</v>
      </c>
    </row>
    <row r="6" spans="1:9">
      <c r="A6">
        <v>5</v>
      </c>
      <c r="B6" t="s">
        <v>234</v>
      </c>
      <c r="C6" t="s">
        <v>235</v>
      </c>
      <c r="D6">
        <v>122001228</v>
      </c>
      <c r="E6" t="s">
        <v>256</v>
      </c>
      <c r="F6" t="s">
        <v>296</v>
      </c>
      <c r="G6" t="s">
        <v>188</v>
      </c>
      <c r="H6" t="s">
        <v>297</v>
      </c>
      <c r="I6" t="s">
        <v>186</v>
      </c>
    </row>
    <row r="7" spans="1:9">
      <c r="A7">
        <v>6</v>
      </c>
      <c r="B7" t="s">
        <v>277</v>
      </c>
      <c r="C7" t="s">
        <v>259</v>
      </c>
      <c r="D7">
        <v>122001221</v>
      </c>
      <c r="E7" t="s">
        <v>256</v>
      </c>
      <c r="F7" t="s">
        <v>298</v>
      </c>
      <c r="G7" t="s">
        <v>220</v>
      </c>
      <c r="H7" t="s">
        <v>297</v>
      </c>
      <c r="I7" t="s">
        <v>76</v>
      </c>
    </row>
    <row r="8" spans="1:9">
      <c r="A8">
        <v>7</v>
      </c>
      <c r="B8" t="s">
        <v>258</v>
      </c>
      <c r="C8" t="s">
        <v>259</v>
      </c>
      <c r="D8">
        <v>122001221</v>
      </c>
      <c r="E8" t="s">
        <v>256</v>
      </c>
      <c r="F8" t="s">
        <v>298</v>
      </c>
      <c r="G8" t="s">
        <v>220</v>
      </c>
      <c r="H8" t="s">
        <v>297</v>
      </c>
      <c r="I8" t="s">
        <v>76</v>
      </c>
    </row>
    <row r="9" spans="1:9">
      <c r="A9">
        <v>8</v>
      </c>
      <c r="B9" t="s">
        <v>260</v>
      </c>
      <c r="C9" t="s">
        <v>259</v>
      </c>
      <c r="D9">
        <v>122001221</v>
      </c>
      <c r="E9" t="s">
        <v>256</v>
      </c>
      <c r="F9" t="s">
        <v>298</v>
      </c>
      <c r="G9" t="s">
        <v>261</v>
      </c>
      <c r="H9" t="s">
        <v>297</v>
      </c>
      <c r="I9" t="s">
        <v>76</v>
      </c>
    </row>
    <row r="10" spans="1:9">
      <c r="A10">
        <v>9</v>
      </c>
      <c r="B10" t="s">
        <v>262</v>
      </c>
      <c r="C10" t="s">
        <v>263</v>
      </c>
      <c r="D10">
        <v>122001225</v>
      </c>
      <c r="E10" t="s">
        <v>256</v>
      </c>
      <c r="F10" t="s">
        <v>298</v>
      </c>
      <c r="G10" t="s">
        <v>264</v>
      </c>
      <c r="H10" t="s">
        <v>297</v>
      </c>
      <c r="I10" t="s">
        <v>76</v>
      </c>
    </row>
    <row r="11" spans="1:9">
      <c r="A11">
        <v>10</v>
      </c>
      <c r="B11" t="s">
        <v>266</v>
      </c>
      <c r="C11" t="s">
        <v>267</v>
      </c>
      <c r="D11">
        <v>122001226</v>
      </c>
      <c r="E11" t="s">
        <v>256</v>
      </c>
      <c r="F11" t="s">
        <v>298</v>
      </c>
      <c r="G11" t="s">
        <v>261</v>
      </c>
      <c r="H11" t="s">
        <v>297</v>
      </c>
      <c r="I11" t="s">
        <v>76</v>
      </c>
    </row>
    <row r="12" spans="1:9">
      <c r="A12">
        <v>11</v>
      </c>
      <c r="B12" t="s">
        <v>75</v>
      </c>
      <c r="C12" t="s">
        <v>77</v>
      </c>
      <c r="D12">
        <v>122001305</v>
      </c>
      <c r="E12" t="s">
        <v>283</v>
      </c>
      <c r="F12" t="s">
        <v>298</v>
      </c>
      <c r="G12" t="s">
        <v>78</v>
      </c>
      <c r="H12" t="s">
        <v>62</v>
      </c>
      <c r="I12" t="s">
        <v>76</v>
      </c>
    </row>
    <row r="13" spans="1:9">
      <c r="A13">
        <v>12</v>
      </c>
      <c r="B13" t="s">
        <v>134</v>
      </c>
      <c r="C13" t="s">
        <v>136</v>
      </c>
      <c r="D13">
        <v>122001306</v>
      </c>
      <c r="E13" t="s">
        <v>283</v>
      </c>
      <c r="F13" t="s">
        <v>300</v>
      </c>
      <c r="G13" t="s">
        <v>60</v>
      </c>
      <c r="H13" t="s">
        <v>62</v>
      </c>
      <c r="I13" t="s">
        <v>135</v>
      </c>
    </row>
    <row r="14" spans="1:9">
      <c r="A14">
        <v>13</v>
      </c>
      <c r="B14" t="s">
        <v>243</v>
      </c>
      <c r="C14" t="s">
        <v>244</v>
      </c>
      <c r="D14">
        <v>122001307</v>
      </c>
      <c r="E14" t="s">
        <v>283</v>
      </c>
      <c r="F14" t="s">
        <v>296</v>
      </c>
      <c r="G14" t="s">
        <v>299</v>
      </c>
      <c r="H14" t="s">
        <v>297</v>
      </c>
      <c r="I14" t="s">
        <v>186</v>
      </c>
    </row>
    <row r="15" spans="1:9">
      <c r="A15">
        <v>14</v>
      </c>
      <c r="B15" t="s">
        <v>67</v>
      </c>
      <c r="C15" t="s">
        <v>68</v>
      </c>
      <c r="D15">
        <v>122001210</v>
      </c>
      <c r="E15" t="s">
        <v>256</v>
      </c>
      <c r="F15" t="s">
        <v>301</v>
      </c>
      <c r="G15" t="s">
        <v>60</v>
      </c>
      <c r="H15" t="s">
        <v>62</v>
      </c>
      <c r="I15" t="s">
        <v>58</v>
      </c>
    </row>
    <row r="16" spans="1:9">
      <c r="A16">
        <v>15</v>
      </c>
      <c r="B16" t="s">
        <v>231</v>
      </c>
      <c r="C16" t="s">
        <v>232</v>
      </c>
      <c r="D16">
        <v>122001311</v>
      </c>
      <c r="E16" t="s">
        <v>283</v>
      </c>
      <c r="F16" t="s">
        <v>296</v>
      </c>
      <c r="G16" t="s">
        <v>188</v>
      </c>
      <c r="H16" t="s">
        <v>297</v>
      </c>
      <c r="I16" t="s">
        <v>186</v>
      </c>
    </row>
    <row r="17" spans="1:9">
      <c r="A17">
        <v>16</v>
      </c>
      <c r="B17" t="s">
        <v>205</v>
      </c>
      <c r="C17" t="s">
        <v>206</v>
      </c>
      <c r="D17">
        <v>122001192</v>
      </c>
      <c r="E17" t="s">
        <v>273</v>
      </c>
      <c r="F17" t="s">
        <v>296</v>
      </c>
      <c r="G17" t="s">
        <v>199</v>
      </c>
      <c r="H17" t="s">
        <v>62</v>
      </c>
      <c r="I17" t="s">
        <v>186</v>
      </c>
    </row>
    <row r="18" spans="1:9">
      <c r="A18">
        <v>17</v>
      </c>
      <c r="B18" t="s">
        <v>214</v>
      </c>
      <c r="C18" t="s">
        <v>215</v>
      </c>
      <c r="D18">
        <v>122001322</v>
      </c>
      <c r="E18" t="s">
        <v>74</v>
      </c>
      <c r="F18" t="s">
        <v>296</v>
      </c>
      <c r="G18" t="s">
        <v>216</v>
      </c>
      <c r="H18" t="s">
        <v>62</v>
      </c>
      <c r="I18" t="s">
        <v>186</v>
      </c>
    </row>
    <row r="19" spans="1:9">
      <c r="A19">
        <v>18</v>
      </c>
      <c r="B19" t="s">
        <v>138</v>
      </c>
      <c r="C19" t="s">
        <v>139</v>
      </c>
      <c r="D19">
        <v>122001316</v>
      </c>
      <c r="E19" t="s">
        <v>74</v>
      </c>
      <c r="F19" t="s">
        <v>300</v>
      </c>
      <c r="G19" t="s">
        <v>60</v>
      </c>
      <c r="H19" t="s">
        <v>62</v>
      </c>
      <c r="I19" t="s">
        <v>135</v>
      </c>
    </row>
    <row r="20" spans="1:9">
      <c r="A20">
        <v>19</v>
      </c>
      <c r="B20" t="s">
        <v>218</v>
      </c>
      <c r="C20" t="s">
        <v>219</v>
      </c>
      <c r="D20">
        <v>122001319</v>
      </c>
      <c r="E20" t="s">
        <v>74</v>
      </c>
      <c r="F20" t="s">
        <v>298</v>
      </c>
      <c r="G20" t="s">
        <v>220</v>
      </c>
      <c r="H20" t="s">
        <v>62</v>
      </c>
      <c r="I20" t="s">
        <v>76</v>
      </c>
    </row>
    <row r="21" spans="1:9">
      <c r="A21">
        <v>20</v>
      </c>
      <c r="B21" t="s">
        <v>185</v>
      </c>
      <c r="C21" t="s">
        <v>187</v>
      </c>
      <c r="D21">
        <v>122001223</v>
      </c>
      <c r="E21" t="s">
        <v>256</v>
      </c>
      <c r="F21" t="s">
        <v>296</v>
      </c>
      <c r="G21" t="s">
        <v>188</v>
      </c>
      <c r="H21" t="s">
        <v>62</v>
      </c>
      <c r="I21" t="s">
        <v>186</v>
      </c>
    </row>
    <row r="22" spans="1:9">
      <c r="A22">
        <v>21</v>
      </c>
      <c r="B22" t="s">
        <v>80</v>
      </c>
      <c r="C22" t="s">
        <v>81</v>
      </c>
      <c r="D22">
        <v>122001212</v>
      </c>
      <c r="E22" t="s">
        <v>256</v>
      </c>
      <c r="F22" t="s">
        <v>298</v>
      </c>
      <c r="G22" t="s">
        <v>78</v>
      </c>
      <c r="H22" t="s">
        <v>62</v>
      </c>
      <c r="I22" t="s">
        <v>76</v>
      </c>
    </row>
    <row r="23" spans="1:9">
      <c r="A23">
        <v>22</v>
      </c>
      <c r="B23" t="s">
        <v>180</v>
      </c>
      <c r="C23" t="s">
        <v>181</v>
      </c>
      <c r="D23">
        <v>122001214</v>
      </c>
      <c r="E23" t="s">
        <v>256</v>
      </c>
      <c r="F23" t="s">
        <v>300</v>
      </c>
      <c r="G23" t="s">
        <v>60</v>
      </c>
      <c r="H23" t="s">
        <v>297</v>
      </c>
      <c r="I23" t="s">
        <v>135</v>
      </c>
    </row>
    <row r="24" spans="1:9">
      <c r="A24">
        <v>23</v>
      </c>
      <c r="B24" t="s">
        <v>210</v>
      </c>
      <c r="C24" t="s">
        <v>211</v>
      </c>
      <c r="D24">
        <v>122001224</v>
      </c>
      <c r="E24" t="s">
        <v>256</v>
      </c>
      <c r="F24" t="s">
        <v>296</v>
      </c>
      <c r="G24" t="s">
        <v>299</v>
      </c>
      <c r="H24" t="s">
        <v>62</v>
      </c>
      <c r="I24" t="s">
        <v>186</v>
      </c>
    </row>
    <row r="25" spans="1:9">
      <c r="A25">
        <v>24</v>
      </c>
      <c r="B25" t="s">
        <v>57</v>
      </c>
      <c r="C25" t="s">
        <v>59</v>
      </c>
      <c r="D25">
        <v>122001186</v>
      </c>
      <c r="E25" t="s">
        <v>273</v>
      </c>
      <c r="F25" t="s">
        <v>301</v>
      </c>
      <c r="G25" t="s">
        <v>60</v>
      </c>
      <c r="H25" t="s">
        <v>62</v>
      </c>
      <c r="I25" t="s">
        <v>58</v>
      </c>
    </row>
    <row r="26" spans="1:9">
      <c r="A26">
        <v>25</v>
      </c>
      <c r="B26" t="s">
        <v>72</v>
      </c>
      <c r="C26" t="s">
        <v>73</v>
      </c>
      <c r="D26">
        <v>122001312</v>
      </c>
      <c r="E26" t="s">
        <v>74</v>
      </c>
      <c r="F26" t="s">
        <v>301</v>
      </c>
      <c r="G26" t="s">
        <v>60</v>
      </c>
      <c r="H26" t="s">
        <v>62</v>
      </c>
      <c r="I26" t="s">
        <v>58</v>
      </c>
    </row>
    <row r="27" spans="1:9">
      <c r="A27">
        <v>26</v>
      </c>
      <c r="B27" t="s">
        <v>83</v>
      </c>
      <c r="C27" t="s">
        <v>84</v>
      </c>
      <c r="D27">
        <v>122001317</v>
      </c>
      <c r="E27" t="s">
        <v>74</v>
      </c>
      <c r="F27" t="s">
        <v>298</v>
      </c>
      <c r="G27" t="s">
        <v>60</v>
      </c>
      <c r="H27" t="s">
        <v>62</v>
      </c>
      <c r="I27" t="s">
        <v>76</v>
      </c>
    </row>
    <row r="28" spans="1:9">
      <c r="A28">
        <v>27</v>
      </c>
      <c r="B28" t="s">
        <v>118</v>
      </c>
      <c r="C28" t="s">
        <v>119</v>
      </c>
      <c r="D28">
        <v>122001220</v>
      </c>
      <c r="E28" t="s">
        <v>256</v>
      </c>
      <c r="F28" t="s">
        <v>301</v>
      </c>
      <c r="G28" t="s">
        <v>60</v>
      </c>
      <c r="H28" t="s">
        <v>297</v>
      </c>
      <c r="I28" t="s">
        <v>58</v>
      </c>
    </row>
    <row r="29" spans="1:9">
      <c r="A29">
        <v>28</v>
      </c>
      <c r="B29" t="s">
        <v>269</v>
      </c>
      <c r="C29" t="s">
        <v>270</v>
      </c>
      <c r="D29">
        <v>122001219</v>
      </c>
      <c r="E29" t="s">
        <v>256</v>
      </c>
      <c r="F29" t="s">
        <v>298</v>
      </c>
      <c r="G29" t="s">
        <v>220</v>
      </c>
      <c r="H29" t="s">
        <v>297</v>
      </c>
      <c r="I29" t="s">
        <v>76</v>
      </c>
    </row>
    <row r="30" spans="1:9">
      <c r="A30">
        <v>29</v>
      </c>
      <c r="B30" t="s">
        <v>120</v>
      </c>
      <c r="C30" t="s">
        <v>119</v>
      </c>
      <c r="D30">
        <v>122001220</v>
      </c>
      <c r="E30" t="s">
        <v>256</v>
      </c>
      <c r="F30" t="s">
        <v>301</v>
      </c>
      <c r="G30" t="s">
        <v>60</v>
      </c>
      <c r="H30" t="s">
        <v>297</v>
      </c>
      <c r="I30" t="s">
        <v>58</v>
      </c>
    </row>
    <row r="31" spans="1:9">
      <c r="A31">
        <v>30</v>
      </c>
      <c r="B31" t="s">
        <v>122</v>
      </c>
      <c r="C31" t="s">
        <v>123</v>
      </c>
      <c r="D31">
        <v>122001211</v>
      </c>
      <c r="E31" t="s">
        <v>256</v>
      </c>
      <c r="F31" t="s">
        <v>301</v>
      </c>
      <c r="G31" t="s">
        <v>60</v>
      </c>
      <c r="H31" t="s">
        <v>297</v>
      </c>
      <c r="I31" t="s">
        <v>58</v>
      </c>
    </row>
    <row r="32" spans="1:9">
      <c r="A32">
        <v>31</v>
      </c>
      <c r="B32" t="s">
        <v>182</v>
      </c>
      <c r="C32" t="s">
        <v>183</v>
      </c>
      <c r="D32">
        <v>122001216</v>
      </c>
      <c r="E32" t="s">
        <v>256</v>
      </c>
      <c r="F32" t="s">
        <v>300</v>
      </c>
      <c r="G32" t="s">
        <v>302</v>
      </c>
      <c r="H32" t="s">
        <v>297</v>
      </c>
      <c r="I32" t="s">
        <v>135</v>
      </c>
    </row>
    <row r="33" spans="1:9">
      <c r="A33">
        <v>32</v>
      </c>
      <c r="B33" t="s">
        <v>111</v>
      </c>
      <c r="C33" t="s">
        <v>112</v>
      </c>
      <c r="D33">
        <v>122001215</v>
      </c>
      <c r="E33" t="s">
        <v>256</v>
      </c>
      <c r="F33" t="s">
        <v>301</v>
      </c>
      <c r="G33" t="s">
        <v>60</v>
      </c>
      <c r="H33" t="s">
        <v>297</v>
      </c>
      <c r="I33" t="s">
        <v>58</v>
      </c>
    </row>
    <row r="34" spans="1:9">
      <c r="A34">
        <v>33</v>
      </c>
      <c r="B34" t="s">
        <v>303</v>
      </c>
      <c r="C34" t="s">
        <v>304</v>
      </c>
      <c r="D34">
        <v>122001243</v>
      </c>
      <c r="E34" t="s">
        <v>87</v>
      </c>
      <c r="F34" t="s">
        <v>296</v>
      </c>
      <c r="G34" t="s">
        <v>299</v>
      </c>
      <c r="H34" t="s">
        <v>297</v>
      </c>
      <c r="I34" t="s">
        <v>186</v>
      </c>
    </row>
    <row r="35" spans="1:9">
      <c r="A35">
        <v>34</v>
      </c>
      <c r="B35" t="s">
        <v>221</v>
      </c>
      <c r="C35" t="s">
        <v>222</v>
      </c>
      <c r="D35">
        <v>122001263</v>
      </c>
      <c r="E35" t="s">
        <v>87</v>
      </c>
      <c r="F35" t="s">
        <v>298</v>
      </c>
      <c r="G35" t="s">
        <v>220</v>
      </c>
      <c r="H35" t="s">
        <v>297</v>
      </c>
      <c r="I35" t="s">
        <v>76</v>
      </c>
    </row>
    <row r="36" spans="1:9">
      <c r="A36">
        <v>35</v>
      </c>
      <c r="B36" t="s">
        <v>305</v>
      </c>
      <c r="C36" t="s">
        <v>306</v>
      </c>
      <c r="D36">
        <v>122001268</v>
      </c>
      <c r="E36" t="s">
        <v>87</v>
      </c>
      <c r="F36" t="s">
        <v>300</v>
      </c>
      <c r="G36" t="s">
        <v>302</v>
      </c>
      <c r="H36" t="s">
        <v>297</v>
      </c>
      <c r="I36" t="s">
        <v>135</v>
      </c>
    </row>
    <row r="37" spans="1:9">
      <c r="A37">
        <v>36</v>
      </c>
      <c r="B37" t="s">
        <v>115</v>
      </c>
      <c r="C37" t="s">
        <v>116</v>
      </c>
      <c r="D37">
        <v>122001218</v>
      </c>
      <c r="E37" t="s">
        <v>256</v>
      </c>
      <c r="F37" t="s">
        <v>301</v>
      </c>
      <c r="G37" t="s">
        <v>60</v>
      </c>
      <c r="H37" t="s">
        <v>297</v>
      </c>
      <c r="I37" t="s">
        <v>58</v>
      </c>
    </row>
    <row r="38" spans="1:9">
      <c r="A38">
        <v>37</v>
      </c>
      <c r="B38" t="s">
        <v>108</v>
      </c>
      <c r="C38" t="s">
        <v>109</v>
      </c>
      <c r="D38">
        <v>122001217</v>
      </c>
      <c r="E38" t="s">
        <v>256</v>
      </c>
      <c r="F38" t="s">
        <v>301</v>
      </c>
      <c r="G38" t="s">
        <v>60</v>
      </c>
      <c r="H38" t="s">
        <v>297</v>
      </c>
      <c r="I38" t="s">
        <v>58</v>
      </c>
    </row>
    <row r="39" spans="1:9">
      <c r="A39">
        <v>38</v>
      </c>
      <c r="B39" t="s">
        <v>307</v>
      </c>
      <c r="C39" t="s">
        <v>308</v>
      </c>
      <c r="D39">
        <v>122001247</v>
      </c>
      <c r="E39" t="s">
        <v>87</v>
      </c>
      <c r="F39" t="s">
        <v>300</v>
      </c>
      <c r="G39" t="s">
        <v>60</v>
      </c>
      <c r="H39" t="s">
        <v>297</v>
      </c>
      <c r="I39" t="s">
        <v>135</v>
      </c>
    </row>
    <row r="40" spans="1:9">
      <c r="A40">
        <v>39</v>
      </c>
      <c r="B40" t="s">
        <v>309</v>
      </c>
      <c r="C40" t="s">
        <v>310</v>
      </c>
      <c r="D40">
        <v>122001292</v>
      </c>
      <c r="E40" t="s">
        <v>87</v>
      </c>
      <c r="F40" t="s">
        <v>300</v>
      </c>
      <c r="G40" t="s">
        <v>311</v>
      </c>
      <c r="H40" t="s">
        <v>297</v>
      </c>
      <c r="I40" t="s">
        <v>135</v>
      </c>
    </row>
    <row r="41" spans="1:9">
      <c r="A41">
        <v>40</v>
      </c>
      <c r="B41" t="s">
        <v>208</v>
      </c>
      <c r="C41" t="s">
        <v>209</v>
      </c>
      <c r="D41">
        <v>122001285</v>
      </c>
      <c r="E41" t="s">
        <v>87</v>
      </c>
      <c r="F41" t="s">
        <v>296</v>
      </c>
      <c r="G41" t="s">
        <v>199</v>
      </c>
      <c r="H41" t="s">
        <v>62</v>
      </c>
      <c r="I41" t="s">
        <v>186</v>
      </c>
    </row>
    <row r="42" spans="1:9">
      <c r="A42">
        <v>41</v>
      </c>
      <c r="B42" t="s">
        <v>312</v>
      </c>
      <c r="C42" t="s">
        <v>313</v>
      </c>
      <c r="D42">
        <v>122001251</v>
      </c>
      <c r="E42" t="s">
        <v>87</v>
      </c>
      <c r="F42" t="s">
        <v>300</v>
      </c>
      <c r="G42" t="s">
        <v>60</v>
      </c>
      <c r="H42" t="s">
        <v>297</v>
      </c>
      <c r="I42" t="s">
        <v>135</v>
      </c>
    </row>
    <row r="43" spans="1:9">
      <c r="A43">
        <v>42</v>
      </c>
      <c r="B43" t="s">
        <v>314</v>
      </c>
      <c r="C43" t="s">
        <v>315</v>
      </c>
      <c r="D43">
        <v>122001241</v>
      </c>
      <c r="E43" t="s">
        <v>87</v>
      </c>
      <c r="F43" t="s">
        <v>296</v>
      </c>
      <c r="G43" t="s">
        <v>188</v>
      </c>
      <c r="H43" t="s">
        <v>297</v>
      </c>
      <c r="I43" t="s">
        <v>186</v>
      </c>
    </row>
    <row r="44" spans="1:9">
      <c r="A44">
        <v>43</v>
      </c>
      <c r="B44" t="s">
        <v>316</v>
      </c>
      <c r="C44" t="s">
        <v>317</v>
      </c>
      <c r="D44">
        <v>122001240</v>
      </c>
      <c r="E44" t="s">
        <v>87</v>
      </c>
      <c r="F44" t="s">
        <v>296</v>
      </c>
      <c r="G44" t="s">
        <v>188</v>
      </c>
      <c r="H44" t="s">
        <v>297</v>
      </c>
      <c r="I44" t="s">
        <v>186</v>
      </c>
    </row>
    <row r="45" spans="1:9">
      <c r="A45">
        <v>44</v>
      </c>
      <c r="B45" t="s">
        <v>318</v>
      </c>
      <c r="C45" t="s">
        <v>319</v>
      </c>
      <c r="D45">
        <v>122001256</v>
      </c>
      <c r="E45" t="s">
        <v>87</v>
      </c>
      <c r="F45" t="s">
        <v>296</v>
      </c>
      <c r="G45" t="s">
        <v>188</v>
      </c>
      <c r="H45" t="s">
        <v>297</v>
      </c>
      <c r="I45" t="s">
        <v>186</v>
      </c>
    </row>
    <row r="46" spans="1:9">
      <c r="A46">
        <v>45</v>
      </c>
      <c r="B46" t="s">
        <v>223</v>
      </c>
      <c r="C46" t="s">
        <v>224</v>
      </c>
      <c r="D46">
        <v>122001273</v>
      </c>
      <c r="E46" t="s">
        <v>87</v>
      </c>
      <c r="F46" t="s">
        <v>296</v>
      </c>
      <c r="G46" t="s">
        <v>188</v>
      </c>
      <c r="H46" t="s">
        <v>297</v>
      </c>
      <c r="I46" t="s">
        <v>186</v>
      </c>
    </row>
    <row r="47" spans="1:9">
      <c r="A47">
        <v>46</v>
      </c>
      <c r="B47" t="s">
        <v>225</v>
      </c>
      <c r="C47" t="s">
        <v>226</v>
      </c>
      <c r="D47">
        <v>122001274</v>
      </c>
      <c r="E47" t="s">
        <v>87</v>
      </c>
      <c r="F47" t="s">
        <v>296</v>
      </c>
      <c r="G47" t="s">
        <v>320</v>
      </c>
      <c r="H47" t="s">
        <v>297</v>
      </c>
      <c r="I47" t="s">
        <v>186</v>
      </c>
    </row>
    <row r="48" spans="1:9">
      <c r="A48">
        <v>47</v>
      </c>
      <c r="B48" t="s">
        <v>321</v>
      </c>
      <c r="C48" t="s">
        <v>322</v>
      </c>
      <c r="D48">
        <v>122001266</v>
      </c>
      <c r="E48" t="s">
        <v>87</v>
      </c>
      <c r="F48" t="s">
        <v>300</v>
      </c>
      <c r="G48" t="s">
        <v>60</v>
      </c>
      <c r="H48" t="s">
        <v>297</v>
      </c>
      <c r="I48" t="s">
        <v>135</v>
      </c>
    </row>
    <row r="49" spans="1:9">
      <c r="A49">
        <v>48</v>
      </c>
      <c r="B49" t="s">
        <v>143</v>
      </c>
      <c r="C49" t="s">
        <v>144</v>
      </c>
      <c r="D49">
        <v>122001264</v>
      </c>
      <c r="E49" t="s">
        <v>87</v>
      </c>
      <c r="F49" t="s">
        <v>300</v>
      </c>
      <c r="G49" t="s">
        <v>60</v>
      </c>
      <c r="H49" t="s">
        <v>297</v>
      </c>
      <c r="I49" t="s">
        <v>135</v>
      </c>
    </row>
    <row r="50" spans="1:9">
      <c r="A50">
        <v>49</v>
      </c>
      <c r="B50" t="s">
        <v>145</v>
      </c>
      <c r="C50" t="s">
        <v>146</v>
      </c>
      <c r="D50">
        <v>122001245</v>
      </c>
      <c r="E50" t="s">
        <v>87</v>
      </c>
      <c r="F50" t="s">
        <v>300</v>
      </c>
      <c r="G50" t="s">
        <v>60</v>
      </c>
      <c r="H50" t="s">
        <v>297</v>
      </c>
      <c r="I50" t="s">
        <v>135</v>
      </c>
    </row>
    <row r="51" spans="1:9">
      <c r="A51">
        <v>50</v>
      </c>
      <c r="B51" t="s">
        <v>227</v>
      </c>
      <c r="C51" t="s">
        <v>228</v>
      </c>
      <c r="D51">
        <v>122001242</v>
      </c>
      <c r="E51" t="s">
        <v>87</v>
      </c>
      <c r="F51" t="s">
        <v>296</v>
      </c>
      <c r="G51" t="s">
        <v>299</v>
      </c>
      <c r="H51" t="s">
        <v>297</v>
      </c>
      <c r="I51" t="s">
        <v>186</v>
      </c>
    </row>
    <row r="52" spans="1:9">
      <c r="A52">
        <v>51</v>
      </c>
      <c r="B52" t="s">
        <v>229</v>
      </c>
      <c r="C52" t="s">
        <v>230</v>
      </c>
      <c r="D52">
        <v>122001188</v>
      </c>
      <c r="E52" t="s">
        <v>87</v>
      </c>
      <c r="F52" t="s">
        <v>296</v>
      </c>
      <c r="G52" t="s">
        <v>216</v>
      </c>
      <c r="H52" t="s">
        <v>297</v>
      </c>
      <c r="I52" t="s">
        <v>186</v>
      </c>
    </row>
    <row r="53" spans="1:9">
      <c r="A53">
        <v>52</v>
      </c>
      <c r="B53" t="s">
        <v>323</v>
      </c>
      <c r="C53" t="s">
        <v>324</v>
      </c>
      <c r="D53">
        <v>122001282</v>
      </c>
      <c r="E53" t="s">
        <v>87</v>
      </c>
      <c r="F53" t="s">
        <v>300</v>
      </c>
      <c r="G53" t="s">
        <v>60</v>
      </c>
      <c r="H53" t="s">
        <v>297</v>
      </c>
      <c r="I53" t="s">
        <v>135</v>
      </c>
    </row>
    <row r="54" spans="1:9">
      <c r="A54">
        <v>53</v>
      </c>
      <c r="B54" t="s">
        <v>325</v>
      </c>
      <c r="C54" t="s">
        <v>326</v>
      </c>
      <c r="D54">
        <v>122001284</v>
      </c>
      <c r="E54" t="s">
        <v>87</v>
      </c>
      <c r="F54" t="s">
        <v>300</v>
      </c>
      <c r="G54" t="s">
        <v>60</v>
      </c>
      <c r="H54" t="s">
        <v>297</v>
      </c>
      <c r="I54" t="s">
        <v>135</v>
      </c>
    </row>
    <row r="55" spans="1:9">
      <c r="A55">
        <v>54</v>
      </c>
      <c r="B55" t="s">
        <v>327</v>
      </c>
      <c r="C55" t="s">
        <v>324</v>
      </c>
      <c r="D55">
        <v>122001282</v>
      </c>
      <c r="E55" t="s">
        <v>87</v>
      </c>
      <c r="F55" t="s">
        <v>300</v>
      </c>
      <c r="G55" t="s">
        <v>60</v>
      </c>
      <c r="H55" t="s">
        <v>297</v>
      </c>
      <c r="I55" t="s">
        <v>135</v>
      </c>
    </row>
    <row r="56" spans="1:9">
      <c r="A56">
        <v>55</v>
      </c>
      <c r="B56" t="s">
        <v>328</v>
      </c>
      <c r="C56" t="s">
        <v>329</v>
      </c>
      <c r="D56">
        <v>122001283</v>
      </c>
      <c r="E56" t="s">
        <v>87</v>
      </c>
      <c r="F56" t="s">
        <v>300</v>
      </c>
      <c r="G56" t="s">
        <v>60</v>
      </c>
      <c r="H56" t="s">
        <v>297</v>
      </c>
      <c r="I56" t="s">
        <v>135</v>
      </c>
    </row>
    <row r="57" spans="1:9">
      <c r="A57">
        <v>56</v>
      </c>
      <c r="B57" t="s">
        <v>330</v>
      </c>
      <c r="C57" t="s">
        <v>331</v>
      </c>
      <c r="D57">
        <v>122001293</v>
      </c>
      <c r="E57" t="s">
        <v>87</v>
      </c>
      <c r="F57" t="s">
        <v>300</v>
      </c>
      <c r="G57" t="s">
        <v>311</v>
      </c>
      <c r="H57" t="s">
        <v>297</v>
      </c>
      <c r="I57" t="s">
        <v>135</v>
      </c>
    </row>
    <row r="58" spans="1:9">
      <c r="A58">
        <v>57</v>
      </c>
      <c r="B58" t="s">
        <v>125</v>
      </c>
      <c r="C58" t="s">
        <v>126</v>
      </c>
      <c r="D58">
        <v>122001213</v>
      </c>
      <c r="E58" t="s">
        <v>256</v>
      </c>
      <c r="F58" t="s">
        <v>301</v>
      </c>
      <c r="G58" t="s">
        <v>60</v>
      </c>
      <c r="H58" t="s">
        <v>297</v>
      </c>
      <c r="I58" t="s">
        <v>58</v>
      </c>
    </row>
    <row r="59" spans="1:9">
      <c r="A59">
        <v>58</v>
      </c>
      <c r="B59" t="s">
        <v>148</v>
      </c>
      <c r="C59" t="s">
        <v>149</v>
      </c>
      <c r="D59">
        <v>122001267</v>
      </c>
      <c r="E59" t="s">
        <v>87</v>
      </c>
      <c r="F59" t="s">
        <v>300</v>
      </c>
      <c r="G59" t="s">
        <v>60</v>
      </c>
      <c r="H59" t="s">
        <v>297</v>
      </c>
      <c r="I59" t="s">
        <v>135</v>
      </c>
    </row>
    <row r="60" spans="1:9">
      <c r="A60">
        <v>59</v>
      </c>
      <c r="B60" t="s">
        <v>85</v>
      </c>
      <c r="C60" t="s">
        <v>86</v>
      </c>
      <c r="D60">
        <v>122001279</v>
      </c>
      <c r="E60" t="s">
        <v>87</v>
      </c>
      <c r="F60" t="s">
        <v>298</v>
      </c>
      <c r="G60" t="s">
        <v>60</v>
      </c>
      <c r="H60" t="s">
        <v>297</v>
      </c>
      <c r="I60" t="s">
        <v>76</v>
      </c>
    </row>
    <row r="61" spans="1:9">
      <c r="A61">
        <v>60</v>
      </c>
      <c r="B61" t="s">
        <v>332</v>
      </c>
      <c r="C61" t="s">
        <v>333</v>
      </c>
      <c r="D61">
        <v>122001254</v>
      </c>
      <c r="E61" t="s">
        <v>87</v>
      </c>
      <c r="F61" t="s">
        <v>300</v>
      </c>
      <c r="G61" t="s">
        <v>60</v>
      </c>
      <c r="H61" t="s">
        <v>297</v>
      </c>
      <c r="I61" t="s">
        <v>135</v>
      </c>
    </row>
    <row r="62" spans="1:9">
      <c r="A62">
        <v>61</v>
      </c>
      <c r="B62" t="s">
        <v>90</v>
      </c>
      <c r="C62" t="s">
        <v>91</v>
      </c>
      <c r="D62">
        <v>122001232</v>
      </c>
      <c r="E62" t="s">
        <v>87</v>
      </c>
      <c r="F62" t="s">
        <v>298</v>
      </c>
      <c r="G62" t="s">
        <v>60</v>
      </c>
      <c r="H62" t="s">
        <v>297</v>
      </c>
      <c r="I62" t="s">
        <v>76</v>
      </c>
    </row>
    <row r="63" spans="1:9">
      <c r="A63">
        <v>62</v>
      </c>
      <c r="B63" t="s">
        <v>92</v>
      </c>
      <c r="C63" t="s">
        <v>93</v>
      </c>
      <c r="D63">
        <v>122001250</v>
      </c>
      <c r="E63" t="s">
        <v>87</v>
      </c>
      <c r="F63" t="s">
        <v>301</v>
      </c>
      <c r="G63" t="s">
        <v>60</v>
      </c>
      <c r="H63" t="s">
        <v>297</v>
      </c>
      <c r="I63" t="s">
        <v>58</v>
      </c>
    </row>
    <row r="64" spans="1:9">
      <c r="A64">
        <v>63</v>
      </c>
      <c r="B64" t="s">
        <v>150</v>
      </c>
      <c r="C64" t="s">
        <v>151</v>
      </c>
      <c r="D64">
        <v>122001276</v>
      </c>
      <c r="E64" t="s">
        <v>87</v>
      </c>
      <c r="F64" t="s">
        <v>300</v>
      </c>
      <c r="G64" t="s">
        <v>60</v>
      </c>
      <c r="H64" t="s">
        <v>297</v>
      </c>
      <c r="I64" t="s">
        <v>135</v>
      </c>
    </row>
    <row r="65" spans="1:9">
      <c r="A65">
        <v>64</v>
      </c>
      <c r="B65" t="s">
        <v>152</v>
      </c>
      <c r="C65" t="s">
        <v>153</v>
      </c>
      <c r="D65">
        <v>122001278</v>
      </c>
      <c r="E65" t="s">
        <v>87</v>
      </c>
      <c r="F65" t="s">
        <v>300</v>
      </c>
      <c r="G65" t="s">
        <v>60</v>
      </c>
      <c r="H65" t="s">
        <v>297</v>
      </c>
      <c r="I65" t="s">
        <v>135</v>
      </c>
    </row>
    <row r="66" spans="1:9">
      <c r="A66">
        <v>65</v>
      </c>
      <c r="B66" t="s">
        <v>94</v>
      </c>
      <c r="C66" t="s">
        <v>95</v>
      </c>
      <c r="D66">
        <v>122001269</v>
      </c>
      <c r="E66" t="s">
        <v>87</v>
      </c>
      <c r="F66" t="s">
        <v>298</v>
      </c>
      <c r="G66" t="s">
        <v>60</v>
      </c>
      <c r="H66" t="s">
        <v>297</v>
      </c>
      <c r="I66" t="s">
        <v>76</v>
      </c>
    </row>
    <row r="67" spans="1:9">
      <c r="A67">
        <v>66</v>
      </c>
      <c r="B67" t="s">
        <v>96</v>
      </c>
      <c r="C67" t="s">
        <v>97</v>
      </c>
      <c r="D67">
        <v>122001275</v>
      </c>
      <c r="E67" t="s">
        <v>87</v>
      </c>
      <c r="F67" t="s">
        <v>301</v>
      </c>
      <c r="G67" t="s">
        <v>60</v>
      </c>
      <c r="H67" t="s">
        <v>297</v>
      </c>
      <c r="I67" t="s">
        <v>58</v>
      </c>
    </row>
    <row r="68" spans="1:9">
      <c r="A68">
        <v>67</v>
      </c>
      <c r="B68" t="s">
        <v>334</v>
      </c>
      <c r="C68" t="s">
        <v>335</v>
      </c>
      <c r="D68">
        <v>122001294</v>
      </c>
      <c r="E68" t="s">
        <v>87</v>
      </c>
      <c r="F68" t="s">
        <v>300</v>
      </c>
      <c r="G68" t="s">
        <v>311</v>
      </c>
      <c r="H68" t="s">
        <v>297</v>
      </c>
      <c r="I68" t="s">
        <v>135</v>
      </c>
    </row>
    <row r="69" spans="1:9">
      <c r="A69">
        <v>68</v>
      </c>
      <c r="B69" t="s">
        <v>336</v>
      </c>
      <c r="C69" t="s">
        <v>337</v>
      </c>
      <c r="D69">
        <v>122001270</v>
      </c>
      <c r="E69" t="s">
        <v>87</v>
      </c>
      <c r="F69" t="s">
        <v>300</v>
      </c>
      <c r="G69" t="s">
        <v>60</v>
      </c>
      <c r="H69" t="s">
        <v>297</v>
      </c>
      <c r="I69" t="s">
        <v>135</v>
      </c>
    </row>
    <row r="70" spans="1:9">
      <c r="A70">
        <v>69</v>
      </c>
      <c r="B70" t="s">
        <v>338</v>
      </c>
      <c r="C70" t="s">
        <v>339</v>
      </c>
      <c r="D70">
        <v>122001248</v>
      </c>
      <c r="E70" t="s">
        <v>87</v>
      </c>
      <c r="F70" t="s">
        <v>300</v>
      </c>
      <c r="G70" t="s">
        <v>60</v>
      </c>
      <c r="H70" t="s">
        <v>297</v>
      </c>
      <c r="I70" t="s">
        <v>135</v>
      </c>
    </row>
    <row r="71" spans="1:9">
      <c r="A71">
        <v>70</v>
      </c>
      <c r="B71" t="s">
        <v>340</v>
      </c>
      <c r="C71" t="s">
        <v>341</v>
      </c>
      <c r="D71">
        <v>122001231</v>
      </c>
      <c r="E71" t="s">
        <v>87</v>
      </c>
      <c r="F71" t="s">
        <v>300</v>
      </c>
      <c r="G71" t="s">
        <v>60</v>
      </c>
      <c r="H71" t="s">
        <v>297</v>
      </c>
      <c r="I71" t="s">
        <v>135</v>
      </c>
    </row>
    <row r="72" spans="1:9">
      <c r="A72">
        <v>71</v>
      </c>
      <c r="B72" t="s">
        <v>98</v>
      </c>
      <c r="C72" t="s">
        <v>99</v>
      </c>
      <c r="D72">
        <v>122001233</v>
      </c>
      <c r="E72" t="s">
        <v>87</v>
      </c>
      <c r="F72" t="s">
        <v>301</v>
      </c>
      <c r="G72" t="s">
        <v>60</v>
      </c>
      <c r="H72" t="s">
        <v>297</v>
      </c>
      <c r="I72" t="s">
        <v>58</v>
      </c>
    </row>
    <row r="73" spans="1:9">
      <c r="A73">
        <v>72</v>
      </c>
      <c r="B73" t="s">
        <v>342</v>
      </c>
      <c r="C73" t="s">
        <v>343</v>
      </c>
      <c r="D73">
        <v>122001246</v>
      </c>
      <c r="E73" t="s">
        <v>87</v>
      </c>
      <c r="F73" t="s">
        <v>300</v>
      </c>
      <c r="G73" t="s">
        <v>60</v>
      </c>
      <c r="H73" t="s">
        <v>297</v>
      </c>
      <c r="I73" t="s">
        <v>135</v>
      </c>
    </row>
    <row r="74" spans="1:9">
      <c r="A74">
        <v>73</v>
      </c>
      <c r="B74" t="s">
        <v>344</v>
      </c>
      <c r="C74" t="s">
        <v>345</v>
      </c>
      <c r="D74">
        <v>122001291</v>
      </c>
      <c r="E74" t="s">
        <v>87</v>
      </c>
      <c r="F74" t="s">
        <v>301</v>
      </c>
      <c r="G74" t="s">
        <v>60</v>
      </c>
      <c r="H74" t="s">
        <v>297</v>
      </c>
      <c r="I74" t="s">
        <v>58</v>
      </c>
    </row>
    <row r="75" spans="1:9">
      <c r="A75">
        <v>74</v>
      </c>
      <c r="B75" t="s">
        <v>346</v>
      </c>
      <c r="C75" t="s">
        <v>347</v>
      </c>
      <c r="D75">
        <v>122001289</v>
      </c>
      <c r="E75" t="s">
        <v>87</v>
      </c>
      <c r="F75" t="s">
        <v>296</v>
      </c>
      <c r="G75" t="s">
        <v>299</v>
      </c>
      <c r="H75" t="s">
        <v>297</v>
      </c>
      <c r="I75" t="s">
        <v>186</v>
      </c>
    </row>
    <row r="76" spans="1:9">
      <c r="A76">
        <v>75</v>
      </c>
      <c r="B76" t="s">
        <v>348</v>
      </c>
      <c r="C76" t="s">
        <v>349</v>
      </c>
      <c r="D76">
        <v>122001272</v>
      </c>
      <c r="E76" t="s">
        <v>87</v>
      </c>
      <c r="F76" t="s">
        <v>298</v>
      </c>
      <c r="G76" t="s">
        <v>220</v>
      </c>
      <c r="H76" t="s">
        <v>297</v>
      </c>
      <c r="I76" t="s">
        <v>76</v>
      </c>
    </row>
    <row r="77" spans="1:9">
      <c r="A77">
        <v>76</v>
      </c>
      <c r="B77" t="s">
        <v>350</v>
      </c>
      <c r="C77" t="s">
        <v>351</v>
      </c>
      <c r="D77">
        <v>122001265</v>
      </c>
      <c r="E77" t="s">
        <v>87</v>
      </c>
      <c r="F77" t="s">
        <v>300</v>
      </c>
      <c r="G77" t="s">
        <v>60</v>
      </c>
      <c r="H77" t="s">
        <v>297</v>
      </c>
      <c r="I77" t="s">
        <v>135</v>
      </c>
    </row>
    <row r="78" spans="1:9">
      <c r="A78">
        <v>77</v>
      </c>
      <c r="B78" t="s">
        <v>352</v>
      </c>
      <c r="C78" t="s">
        <v>353</v>
      </c>
      <c r="D78">
        <v>122001271</v>
      </c>
      <c r="E78" t="s">
        <v>87</v>
      </c>
      <c r="F78" t="s">
        <v>300</v>
      </c>
      <c r="G78" t="s">
        <v>302</v>
      </c>
      <c r="H78" t="s">
        <v>297</v>
      </c>
      <c r="I78" t="s">
        <v>135</v>
      </c>
    </row>
    <row r="79" spans="1:9">
      <c r="A79">
        <v>78</v>
      </c>
      <c r="B79" t="s">
        <v>154</v>
      </c>
      <c r="C79" t="s">
        <v>155</v>
      </c>
      <c r="D79">
        <v>122001258</v>
      </c>
      <c r="E79" t="s">
        <v>87</v>
      </c>
      <c r="F79" t="s">
        <v>300</v>
      </c>
      <c r="G79" t="s">
        <v>60</v>
      </c>
      <c r="H79" t="s">
        <v>297</v>
      </c>
      <c r="I79" t="s">
        <v>135</v>
      </c>
    </row>
    <row r="80" spans="1:9">
      <c r="A80">
        <v>79</v>
      </c>
      <c r="B80" t="s">
        <v>354</v>
      </c>
      <c r="C80" t="s">
        <v>355</v>
      </c>
      <c r="D80">
        <v>122001239</v>
      </c>
      <c r="E80" t="s">
        <v>87</v>
      </c>
      <c r="F80" t="s">
        <v>298</v>
      </c>
      <c r="G80" t="s">
        <v>220</v>
      </c>
      <c r="H80" t="s">
        <v>297</v>
      </c>
      <c r="I80" t="s">
        <v>76</v>
      </c>
    </row>
    <row r="81" spans="1:9">
      <c r="A81">
        <v>80</v>
      </c>
      <c r="B81" t="s">
        <v>356</v>
      </c>
      <c r="C81" t="s">
        <v>357</v>
      </c>
      <c r="D81">
        <v>122001253</v>
      </c>
      <c r="E81" t="s">
        <v>87</v>
      </c>
      <c r="F81" t="s">
        <v>300</v>
      </c>
      <c r="G81" t="s">
        <v>60</v>
      </c>
      <c r="H81" t="s">
        <v>297</v>
      </c>
      <c r="I81" t="s">
        <v>135</v>
      </c>
    </row>
    <row r="82" spans="1:9">
      <c r="A82">
        <v>81</v>
      </c>
      <c r="B82" t="s">
        <v>358</v>
      </c>
      <c r="C82" t="s">
        <v>359</v>
      </c>
      <c r="D82">
        <v>122001255</v>
      </c>
      <c r="E82" t="s">
        <v>87</v>
      </c>
      <c r="F82" t="s">
        <v>300</v>
      </c>
      <c r="G82" t="s">
        <v>60</v>
      </c>
      <c r="H82" t="s">
        <v>297</v>
      </c>
      <c r="I82" t="s">
        <v>135</v>
      </c>
    </row>
    <row r="83" spans="1:9">
      <c r="A83">
        <v>82</v>
      </c>
      <c r="B83" t="s">
        <v>156</v>
      </c>
      <c r="C83" t="s">
        <v>157</v>
      </c>
      <c r="D83">
        <v>122001287</v>
      </c>
      <c r="E83" t="s">
        <v>87</v>
      </c>
      <c r="F83" t="s">
        <v>300</v>
      </c>
      <c r="G83" t="s">
        <v>60</v>
      </c>
      <c r="H83" t="s">
        <v>297</v>
      </c>
      <c r="I83" t="s">
        <v>135</v>
      </c>
    </row>
    <row r="84" spans="1:9">
      <c r="A84">
        <v>83</v>
      </c>
      <c r="B84" t="s">
        <v>158</v>
      </c>
      <c r="C84" t="s">
        <v>159</v>
      </c>
      <c r="D84">
        <v>122001290</v>
      </c>
      <c r="E84" t="s">
        <v>87</v>
      </c>
      <c r="F84" t="s">
        <v>300</v>
      </c>
      <c r="G84" t="s">
        <v>60</v>
      </c>
      <c r="H84" t="s">
        <v>297</v>
      </c>
      <c r="I84" t="s">
        <v>135</v>
      </c>
    </row>
    <row r="85" spans="1:9">
      <c r="A85">
        <v>84</v>
      </c>
      <c r="B85" t="s">
        <v>160</v>
      </c>
      <c r="C85" t="s">
        <v>161</v>
      </c>
      <c r="D85">
        <v>122001252</v>
      </c>
      <c r="E85" t="s">
        <v>87</v>
      </c>
      <c r="F85" t="s">
        <v>300</v>
      </c>
      <c r="G85" t="s">
        <v>60</v>
      </c>
      <c r="H85" t="s">
        <v>297</v>
      </c>
      <c r="I85" t="s">
        <v>135</v>
      </c>
    </row>
    <row r="86" spans="1:9">
      <c r="A86">
        <v>85</v>
      </c>
      <c r="B86" t="s">
        <v>100</v>
      </c>
      <c r="C86" t="s">
        <v>101</v>
      </c>
      <c r="D86">
        <v>122001260</v>
      </c>
      <c r="E86" t="s">
        <v>87</v>
      </c>
      <c r="F86" t="s">
        <v>301</v>
      </c>
      <c r="G86" t="s">
        <v>60</v>
      </c>
      <c r="H86" t="s">
        <v>297</v>
      </c>
      <c r="I86" t="s">
        <v>58</v>
      </c>
    </row>
    <row r="87" spans="1:9">
      <c r="A87">
        <v>86</v>
      </c>
      <c r="B87" t="s">
        <v>162</v>
      </c>
      <c r="C87" t="s">
        <v>163</v>
      </c>
      <c r="D87">
        <v>122001280</v>
      </c>
      <c r="E87" t="s">
        <v>87</v>
      </c>
      <c r="F87" t="s">
        <v>300</v>
      </c>
      <c r="G87" t="s">
        <v>60</v>
      </c>
      <c r="H87" t="s">
        <v>297</v>
      </c>
      <c r="I87" t="s">
        <v>135</v>
      </c>
    </row>
    <row r="88" spans="1:9">
      <c r="A88">
        <v>87</v>
      </c>
      <c r="B88" t="s">
        <v>164</v>
      </c>
      <c r="C88" t="s">
        <v>165</v>
      </c>
      <c r="D88">
        <v>122001235</v>
      </c>
      <c r="E88" t="s">
        <v>87</v>
      </c>
      <c r="F88" t="s">
        <v>300</v>
      </c>
      <c r="G88" t="s">
        <v>60</v>
      </c>
      <c r="H88" t="s">
        <v>297</v>
      </c>
      <c r="I88" t="s">
        <v>135</v>
      </c>
    </row>
    <row r="89" spans="1:9">
      <c r="A89">
        <v>88</v>
      </c>
      <c r="B89" t="s">
        <v>102</v>
      </c>
      <c r="C89" t="s">
        <v>103</v>
      </c>
      <c r="D89">
        <v>122001237</v>
      </c>
      <c r="E89" t="s">
        <v>87</v>
      </c>
      <c r="F89" t="s">
        <v>298</v>
      </c>
      <c r="G89" t="s">
        <v>60</v>
      </c>
      <c r="H89" t="s">
        <v>297</v>
      </c>
      <c r="I89" t="s">
        <v>76</v>
      </c>
    </row>
    <row r="90" spans="1:9">
      <c r="A90">
        <v>89</v>
      </c>
      <c r="B90" t="s">
        <v>360</v>
      </c>
      <c r="C90" t="s">
        <v>361</v>
      </c>
      <c r="D90">
        <v>122001257</v>
      </c>
      <c r="E90" t="s">
        <v>87</v>
      </c>
      <c r="F90" t="s">
        <v>298</v>
      </c>
      <c r="G90" t="s">
        <v>60</v>
      </c>
      <c r="H90" t="s">
        <v>297</v>
      </c>
      <c r="I90" t="s">
        <v>76</v>
      </c>
    </row>
    <row r="91" spans="1:9">
      <c r="A91">
        <v>90</v>
      </c>
      <c r="B91" t="s">
        <v>167</v>
      </c>
      <c r="C91" t="s">
        <v>168</v>
      </c>
      <c r="D91">
        <v>122001249</v>
      </c>
      <c r="E91" t="s">
        <v>87</v>
      </c>
      <c r="F91" t="s">
        <v>300</v>
      </c>
      <c r="G91" t="s">
        <v>60</v>
      </c>
      <c r="H91" t="s">
        <v>297</v>
      </c>
      <c r="I91" t="s">
        <v>135</v>
      </c>
    </row>
    <row r="92" spans="1:9">
      <c r="A92">
        <v>91</v>
      </c>
      <c r="B92" t="s">
        <v>362</v>
      </c>
      <c r="C92" t="s">
        <v>363</v>
      </c>
      <c r="D92">
        <v>122001262</v>
      </c>
      <c r="E92" t="s">
        <v>87</v>
      </c>
      <c r="F92" t="s">
        <v>301</v>
      </c>
      <c r="G92" t="s">
        <v>60</v>
      </c>
      <c r="H92" t="s">
        <v>297</v>
      </c>
      <c r="I92" t="s">
        <v>58</v>
      </c>
    </row>
    <row r="93" spans="1:9">
      <c r="A93">
        <v>92</v>
      </c>
      <c r="B93" t="s">
        <v>364</v>
      </c>
      <c r="C93" t="s">
        <v>365</v>
      </c>
      <c r="D93">
        <v>122001238</v>
      </c>
      <c r="E93" t="s">
        <v>87</v>
      </c>
      <c r="F93" t="s">
        <v>298</v>
      </c>
      <c r="G93" t="s">
        <v>220</v>
      </c>
      <c r="H93" t="s">
        <v>297</v>
      </c>
      <c r="I93" t="s">
        <v>76</v>
      </c>
    </row>
    <row r="94" spans="1:9">
      <c r="A94">
        <v>93</v>
      </c>
      <c r="B94" t="s">
        <v>169</v>
      </c>
      <c r="C94" t="s">
        <v>170</v>
      </c>
      <c r="D94">
        <v>122001236</v>
      </c>
      <c r="E94" t="s">
        <v>87</v>
      </c>
      <c r="F94" t="s">
        <v>300</v>
      </c>
      <c r="G94" t="s">
        <v>60</v>
      </c>
      <c r="H94" t="s">
        <v>297</v>
      </c>
      <c r="I94" t="s">
        <v>135</v>
      </c>
    </row>
    <row r="95" spans="1:9">
      <c r="A95">
        <v>94</v>
      </c>
      <c r="B95" t="s">
        <v>172</v>
      </c>
      <c r="C95" t="s">
        <v>173</v>
      </c>
      <c r="D95">
        <v>122001286</v>
      </c>
      <c r="E95" t="s">
        <v>87</v>
      </c>
      <c r="F95" t="s">
        <v>300</v>
      </c>
      <c r="G95" t="s">
        <v>60</v>
      </c>
      <c r="H95" t="s">
        <v>297</v>
      </c>
      <c r="I95" t="s">
        <v>135</v>
      </c>
    </row>
    <row r="96" spans="1:9">
      <c r="A96">
        <v>95</v>
      </c>
      <c r="B96" t="s">
        <v>366</v>
      </c>
      <c r="C96" t="s">
        <v>367</v>
      </c>
      <c r="D96">
        <v>122001261</v>
      </c>
      <c r="E96" t="s">
        <v>87</v>
      </c>
      <c r="F96" t="s">
        <v>301</v>
      </c>
      <c r="G96" t="s">
        <v>60</v>
      </c>
      <c r="H96" t="s">
        <v>297</v>
      </c>
      <c r="I96" t="s">
        <v>58</v>
      </c>
    </row>
    <row r="97" spans="1:9">
      <c r="A97">
        <v>96</v>
      </c>
      <c r="B97" t="s">
        <v>190</v>
      </c>
      <c r="C97" t="s">
        <v>191</v>
      </c>
      <c r="D97">
        <v>122001190</v>
      </c>
      <c r="E97" t="s">
        <v>273</v>
      </c>
      <c r="F97" t="s">
        <v>296</v>
      </c>
      <c r="G97" t="s">
        <v>188</v>
      </c>
      <c r="H97" t="s">
        <v>62</v>
      </c>
      <c r="I97" t="s">
        <v>186</v>
      </c>
    </row>
    <row r="98" spans="1:9">
      <c r="A98">
        <v>97</v>
      </c>
      <c r="B98" t="s">
        <v>241</v>
      </c>
      <c r="C98" t="s">
        <v>242</v>
      </c>
      <c r="D98">
        <v>122001189</v>
      </c>
      <c r="E98" t="s">
        <v>273</v>
      </c>
      <c r="F98" t="s">
        <v>296</v>
      </c>
      <c r="G98" t="s">
        <v>299</v>
      </c>
      <c r="H98" t="s">
        <v>297</v>
      </c>
      <c r="I98" t="s">
        <v>186</v>
      </c>
    </row>
    <row r="99" spans="1:9">
      <c r="A99">
        <v>98</v>
      </c>
      <c r="B99" t="s">
        <v>368</v>
      </c>
      <c r="C99" t="s">
        <v>369</v>
      </c>
      <c r="D99">
        <v>122001259</v>
      </c>
      <c r="E99" t="s">
        <v>87</v>
      </c>
      <c r="F99" t="s">
        <v>298</v>
      </c>
      <c r="G99" t="s">
        <v>60</v>
      </c>
      <c r="H99" t="s">
        <v>297</v>
      </c>
      <c r="I99" t="s">
        <v>76</v>
      </c>
    </row>
    <row r="100" spans="1:9">
      <c r="A100">
        <v>99</v>
      </c>
      <c r="B100" t="s">
        <v>271</v>
      </c>
      <c r="C100" t="s">
        <v>272</v>
      </c>
      <c r="D100">
        <v>122001187</v>
      </c>
      <c r="E100" t="s">
        <v>273</v>
      </c>
      <c r="F100" t="s">
        <v>298</v>
      </c>
      <c r="G100" t="s">
        <v>220</v>
      </c>
      <c r="H100" t="s">
        <v>297</v>
      </c>
      <c r="I100" t="s">
        <v>76</v>
      </c>
    </row>
    <row r="101" spans="1:9">
      <c r="A101">
        <v>100</v>
      </c>
      <c r="B101" t="s">
        <v>239</v>
      </c>
      <c r="C101" t="s">
        <v>240</v>
      </c>
      <c r="D101">
        <v>122001209</v>
      </c>
      <c r="E101" t="s">
        <v>256</v>
      </c>
      <c r="F101" t="s">
        <v>296</v>
      </c>
      <c r="G101" t="s">
        <v>299</v>
      </c>
      <c r="H101" t="s">
        <v>297</v>
      </c>
      <c r="I101" t="s">
        <v>186</v>
      </c>
    </row>
    <row r="102" spans="1:9">
      <c r="A102">
        <v>101</v>
      </c>
      <c r="B102" t="s">
        <v>197</v>
      </c>
      <c r="C102" t="s">
        <v>198</v>
      </c>
      <c r="D102">
        <v>122001229</v>
      </c>
      <c r="E102" t="s">
        <v>256</v>
      </c>
      <c r="F102" t="s">
        <v>296</v>
      </c>
      <c r="G102" t="s">
        <v>199</v>
      </c>
      <c r="H102" t="s">
        <v>62</v>
      </c>
      <c r="I102" t="s">
        <v>186</v>
      </c>
    </row>
    <row r="103" spans="1:9">
      <c r="A103">
        <v>102</v>
      </c>
      <c r="B103" t="s">
        <v>275</v>
      </c>
      <c r="C103" t="s">
        <v>276</v>
      </c>
      <c r="D103">
        <v>122001230</v>
      </c>
      <c r="E103" t="s">
        <v>256</v>
      </c>
      <c r="F103" t="s">
        <v>296</v>
      </c>
      <c r="G103" t="s">
        <v>216</v>
      </c>
      <c r="H103" t="s">
        <v>297</v>
      </c>
      <c r="I103" t="s">
        <v>186</v>
      </c>
    </row>
    <row r="104" spans="1:9">
      <c r="A104">
        <v>103</v>
      </c>
      <c r="B104" t="s">
        <v>254</v>
      </c>
      <c r="C104" t="s">
        <v>255</v>
      </c>
      <c r="D104">
        <v>122001222</v>
      </c>
      <c r="E104" t="s">
        <v>256</v>
      </c>
      <c r="F104" t="s">
        <v>298</v>
      </c>
      <c r="G104" t="s">
        <v>220</v>
      </c>
      <c r="H104" t="s">
        <v>297</v>
      </c>
      <c r="I104" t="s">
        <v>76</v>
      </c>
    </row>
    <row r="105" spans="1:9">
      <c r="A105">
        <v>104</v>
      </c>
      <c r="B105" t="s">
        <v>370</v>
      </c>
      <c r="C105" t="s">
        <v>371</v>
      </c>
      <c r="D105">
        <v>122001234</v>
      </c>
      <c r="E105" t="s">
        <v>87</v>
      </c>
      <c r="F105" t="s">
        <v>301</v>
      </c>
      <c r="G105" t="s">
        <v>60</v>
      </c>
      <c r="H105" t="s">
        <v>297</v>
      </c>
      <c r="I105" t="s">
        <v>58</v>
      </c>
    </row>
    <row r="106" spans="1:9">
      <c r="A106">
        <v>105</v>
      </c>
      <c r="B106" t="s">
        <v>372</v>
      </c>
      <c r="C106" t="s">
        <v>373</v>
      </c>
      <c r="D106">
        <v>122001277</v>
      </c>
      <c r="E106" t="s">
        <v>87</v>
      </c>
      <c r="F106" t="s">
        <v>298</v>
      </c>
      <c r="G106" t="s">
        <v>60</v>
      </c>
      <c r="H106" t="s">
        <v>297</v>
      </c>
      <c r="I106" t="s">
        <v>76</v>
      </c>
    </row>
    <row r="107" spans="1:9">
      <c r="A107">
        <v>106</v>
      </c>
      <c r="B107" t="s">
        <v>194</v>
      </c>
      <c r="C107" t="s">
        <v>195</v>
      </c>
      <c r="D107">
        <v>122001320</v>
      </c>
      <c r="E107" t="s">
        <v>74</v>
      </c>
      <c r="F107" t="s">
        <v>296</v>
      </c>
      <c r="G107" t="s">
        <v>188</v>
      </c>
      <c r="H107" t="s">
        <v>62</v>
      </c>
      <c r="I107" t="s">
        <v>186</v>
      </c>
    </row>
    <row r="108" spans="1:9">
      <c r="A108">
        <v>107</v>
      </c>
      <c r="B108" t="s">
        <v>249</v>
      </c>
      <c r="C108" t="s">
        <v>250</v>
      </c>
      <c r="D108">
        <v>122001323</v>
      </c>
      <c r="E108" t="s">
        <v>74</v>
      </c>
      <c r="F108" t="s">
        <v>296</v>
      </c>
      <c r="G108" t="s">
        <v>216</v>
      </c>
      <c r="H108" t="s">
        <v>297</v>
      </c>
      <c r="I108" t="s">
        <v>186</v>
      </c>
    </row>
    <row r="109" spans="1:9">
      <c r="A109">
        <v>108</v>
      </c>
      <c r="B109" t="s">
        <v>129</v>
      </c>
      <c r="C109" t="s">
        <v>130</v>
      </c>
      <c r="D109">
        <v>122001227</v>
      </c>
      <c r="E109" t="s">
        <v>256</v>
      </c>
      <c r="F109" t="s">
        <v>301</v>
      </c>
      <c r="G109" t="s">
        <v>60</v>
      </c>
      <c r="H109" t="s">
        <v>297</v>
      </c>
      <c r="I109" t="s">
        <v>58</v>
      </c>
    </row>
    <row r="110" spans="1:9">
      <c r="A110">
        <v>109</v>
      </c>
      <c r="B110" t="s">
        <v>174</v>
      </c>
      <c r="C110" t="s">
        <v>175</v>
      </c>
      <c r="D110">
        <v>122001315</v>
      </c>
      <c r="E110" t="s">
        <v>74</v>
      </c>
      <c r="F110" t="s">
        <v>300</v>
      </c>
      <c r="G110" t="s">
        <v>60</v>
      </c>
      <c r="H110" t="s">
        <v>297</v>
      </c>
      <c r="I110" t="s">
        <v>135</v>
      </c>
    </row>
    <row r="111" spans="1:9">
      <c r="A111">
        <v>110</v>
      </c>
      <c r="B111" t="s">
        <v>113</v>
      </c>
      <c r="C111" t="s">
        <v>114</v>
      </c>
      <c r="D111">
        <v>122001314</v>
      </c>
      <c r="E111" t="s">
        <v>74</v>
      </c>
      <c r="F111" t="s">
        <v>301</v>
      </c>
      <c r="G111" t="s">
        <v>60</v>
      </c>
      <c r="H111" t="s">
        <v>297</v>
      </c>
      <c r="I111" t="s">
        <v>58</v>
      </c>
    </row>
    <row r="112" spans="1:9">
      <c r="A112">
        <v>111</v>
      </c>
      <c r="B112" t="s">
        <v>127</v>
      </c>
      <c r="C112" t="s">
        <v>128</v>
      </c>
      <c r="D112">
        <v>122001318</v>
      </c>
      <c r="E112" t="s">
        <v>74</v>
      </c>
      <c r="F112" t="s">
        <v>301</v>
      </c>
      <c r="G112" t="s">
        <v>60</v>
      </c>
      <c r="H112" t="s">
        <v>297</v>
      </c>
      <c r="I112" t="s">
        <v>58</v>
      </c>
    </row>
    <row r="113" spans="1:9">
      <c r="A113">
        <v>112</v>
      </c>
      <c r="B113" t="s">
        <v>246</v>
      </c>
      <c r="C113" t="s">
        <v>247</v>
      </c>
      <c r="D113">
        <v>122001321</v>
      </c>
      <c r="E113" t="s">
        <v>74</v>
      </c>
      <c r="F113" t="s">
        <v>296</v>
      </c>
      <c r="G113" t="s">
        <v>299</v>
      </c>
      <c r="H113" t="s">
        <v>297</v>
      </c>
      <c r="I113" t="s">
        <v>186</v>
      </c>
    </row>
    <row r="114" spans="1:9">
      <c r="A114">
        <v>113</v>
      </c>
      <c r="B114" t="s">
        <v>104</v>
      </c>
      <c r="C114" t="s">
        <v>105</v>
      </c>
      <c r="D114">
        <v>122001313</v>
      </c>
      <c r="E114" t="s">
        <v>74</v>
      </c>
      <c r="F114" t="s">
        <v>298</v>
      </c>
      <c r="G114" t="s">
        <v>78</v>
      </c>
      <c r="H114" t="s">
        <v>297</v>
      </c>
      <c r="I114" t="s">
        <v>76</v>
      </c>
    </row>
    <row r="115" spans="1:9">
      <c r="A115">
        <v>114</v>
      </c>
      <c r="B115" t="s">
        <v>177</v>
      </c>
      <c r="C115" t="s">
        <v>178</v>
      </c>
      <c r="D115">
        <v>122001324</v>
      </c>
      <c r="E115" t="s">
        <v>74</v>
      </c>
      <c r="F115" t="s">
        <v>300</v>
      </c>
      <c r="G115" t="s">
        <v>60</v>
      </c>
      <c r="H115" t="s">
        <v>297</v>
      </c>
      <c r="I115" t="s">
        <v>135</v>
      </c>
    </row>
    <row r="116" spans="1:9">
      <c r="A116">
        <v>115</v>
      </c>
      <c r="B116" t="s">
        <v>141</v>
      </c>
      <c r="C116" t="s">
        <v>128</v>
      </c>
      <c r="D116">
        <v>122001318</v>
      </c>
      <c r="E116" t="s">
        <v>74</v>
      </c>
      <c r="F116" t="s">
        <v>300</v>
      </c>
      <c r="G116" t="s">
        <v>60</v>
      </c>
      <c r="H116" t="s">
        <v>297</v>
      </c>
      <c r="I116" t="s">
        <v>135</v>
      </c>
    </row>
    <row r="117" spans="1:9">
      <c r="A117">
        <v>116</v>
      </c>
      <c r="B117" t="s">
        <v>374</v>
      </c>
      <c r="C117" t="s">
        <v>230</v>
      </c>
      <c r="D117">
        <v>122001188</v>
      </c>
      <c r="E117" t="s">
        <v>273</v>
      </c>
      <c r="F117" t="s">
        <v>296</v>
      </c>
      <c r="G117" t="s">
        <v>216</v>
      </c>
      <c r="H117" t="s">
        <v>297</v>
      </c>
      <c r="I117" t="s">
        <v>186</v>
      </c>
    </row>
    <row r="118" spans="1:9">
      <c r="A118">
        <v>117</v>
      </c>
      <c r="B118" t="s">
        <v>132</v>
      </c>
      <c r="C118" t="s">
        <v>68</v>
      </c>
      <c r="D118">
        <v>122001210</v>
      </c>
      <c r="E118" t="s">
        <v>256</v>
      </c>
      <c r="F118" t="s">
        <v>301</v>
      </c>
      <c r="G118" t="s">
        <v>60</v>
      </c>
      <c r="H118" t="s">
        <v>297</v>
      </c>
      <c r="I118"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B754-6C5F-499A-89E6-AEF3E40812EC}">
  <sheetPr codeName="Hoja3">
    <pageSetUpPr fitToPage="1"/>
  </sheetPr>
  <dimension ref="A1:AN129"/>
  <sheetViews>
    <sheetView showGridLines="0" zoomScale="80" zoomScaleNormal="80" workbookViewId="0">
      <pane ySplit="5" topLeftCell="V132" activePane="bottomLeft" state="frozen"/>
      <selection pane="bottomLeft" activeCell="F94" sqref="F94:AI94"/>
      <selection activeCell="M17" sqref="M17"/>
    </sheetView>
  </sheetViews>
  <sheetFormatPr defaultColWidth="11.42578125" defaultRowHeight="15.6"/>
  <cols>
    <col min="1" max="1" width="52.42578125" style="24" customWidth="1"/>
    <col min="2" max="2" width="20.28515625" style="24" customWidth="1"/>
    <col min="3" max="3" width="17.28515625" style="24" customWidth="1"/>
    <col min="4" max="4" width="14.42578125" style="24" customWidth="1"/>
    <col min="5" max="5" width="25.85546875" style="24" customWidth="1"/>
    <col min="6" max="6" width="19.7109375" style="24" customWidth="1"/>
    <col min="7" max="7" width="25.7109375" style="24" customWidth="1"/>
    <col min="8" max="8" width="10.140625" style="24" customWidth="1"/>
    <col min="9" max="9" width="7.7109375" style="24" customWidth="1"/>
    <col min="10" max="10" width="9.140625" style="24" customWidth="1"/>
    <col min="11" max="11" width="7" style="24" customWidth="1"/>
    <col min="12" max="12" width="10" style="24" customWidth="1"/>
    <col min="13" max="13" width="7.5703125" style="24" customWidth="1"/>
    <col min="14" max="14" width="10.5703125" style="24" customWidth="1"/>
    <col min="15" max="17" width="9.140625" style="24" customWidth="1"/>
    <col min="18" max="18" width="11.85546875" style="24" customWidth="1"/>
    <col min="19" max="19" width="9" style="24" customWidth="1"/>
    <col min="20" max="20" width="11.5703125" style="24" customWidth="1"/>
    <col min="21" max="21" width="9" style="24" customWidth="1"/>
    <col min="22" max="22" width="12.5703125" style="24" customWidth="1"/>
    <col min="23" max="23" width="9" style="24" customWidth="1"/>
    <col min="24" max="24" width="7" style="24" customWidth="1"/>
    <col min="25" max="25" width="7.5703125" style="24" customWidth="1"/>
    <col min="26" max="26" width="9.85546875" style="24" customWidth="1"/>
    <col min="27" max="27" width="9" style="24" customWidth="1"/>
    <col min="28" max="28" width="7.140625" style="24" customWidth="1"/>
    <col min="29" max="30" width="7.5703125" style="24" customWidth="1"/>
    <col min="31" max="32" width="9" style="24" customWidth="1"/>
    <col min="33" max="33" width="9.85546875" style="24" customWidth="1"/>
    <col min="34" max="34" width="12.85546875" style="24" customWidth="1"/>
    <col min="35" max="35" width="12" style="24" customWidth="1"/>
    <col min="36" max="36" width="75.140625" style="24" customWidth="1"/>
    <col min="37" max="37" width="19.7109375" style="24" customWidth="1"/>
    <col min="38" max="38" width="13.140625" style="24" customWidth="1"/>
    <col min="39" max="39" width="11.42578125" style="24"/>
    <col min="40" max="40" width="34.7109375" style="24" customWidth="1"/>
    <col min="41" max="16384" width="11.42578125" style="24"/>
  </cols>
  <sheetData>
    <row r="1" spans="1:40">
      <c r="A1" s="36"/>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8"/>
    </row>
    <row r="2" spans="1:40" ht="31.5" customHeight="1" thickBot="1">
      <c r="A2" s="733" t="s">
        <v>375</v>
      </c>
      <c r="B2" s="734"/>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4"/>
      <c r="AD2" s="734"/>
      <c r="AE2" s="734"/>
      <c r="AF2" s="734"/>
      <c r="AG2" s="734"/>
      <c r="AH2" s="734"/>
      <c r="AI2" s="734"/>
      <c r="AJ2" s="735"/>
    </row>
    <row r="3" spans="1:40" s="94" customFormat="1" ht="15.75" customHeight="1">
      <c r="B3" s="736" t="s">
        <v>376</v>
      </c>
      <c r="C3" s="737"/>
      <c r="D3" s="737"/>
      <c r="E3" s="737"/>
      <c r="F3" s="737"/>
      <c r="G3" s="746"/>
      <c r="H3" s="736" t="s">
        <v>377</v>
      </c>
      <c r="I3" s="737"/>
      <c r="J3" s="737"/>
      <c r="K3" s="737"/>
      <c r="L3" s="737"/>
      <c r="M3" s="737"/>
      <c r="N3" s="737"/>
      <c r="O3" s="737"/>
      <c r="P3" s="737"/>
      <c r="Q3" s="737"/>
      <c r="R3" s="737"/>
      <c r="S3" s="737"/>
      <c r="T3" s="737"/>
      <c r="U3" s="737"/>
      <c r="V3" s="737"/>
      <c r="W3" s="737"/>
      <c r="X3" s="737"/>
      <c r="Y3" s="737"/>
      <c r="Z3" s="737"/>
      <c r="AA3" s="737"/>
      <c r="AB3" s="737"/>
      <c r="AC3" s="737"/>
      <c r="AD3" s="737"/>
      <c r="AE3" s="737"/>
      <c r="AF3" s="737"/>
      <c r="AG3" s="737"/>
      <c r="AH3" s="740" t="s">
        <v>378</v>
      </c>
      <c r="AI3" s="741"/>
      <c r="AJ3" s="744"/>
    </row>
    <row r="4" spans="1:40" s="94" customFormat="1" ht="15.75" customHeight="1">
      <c r="A4" s="204"/>
      <c r="B4" s="738"/>
      <c r="C4" s="739"/>
      <c r="D4" s="739"/>
      <c r="E4" s="739"/>
      <c r="F4" s="739"/>
      <c r="G4" s="747"/>
      <c r="H4" s="738"/>
      <c r="I4" s="739"/>
      <c r="J4" s="739"/>
      <c r="K4" s="739"/>
      <c r="L4" s="739"/>
      <c r="M4" s="739"/>
      <c r="N4" s="739"/>
      <c r="O4" s="739"/>
      <c r="P4" s="739"/>
      <c r="Q4" s="739"/>
      <c r="R4" s="739"/>
      <c r="S4" s="739"/>
      <c r="T4" s="739"/>
      <c r="U4" s="739"/>
      <c r="V4" s="739"/>
      <c r="W4" s="739"/>
      <c r="X4" s="739"/>
      <c r="Y4" s="739"/>
      <c r="Z4" s="739"/>
      <c r="AA4" s="739"/>
      <c r="AB4" s="739"/>
      <c r="AC4" s="739"/>
      <c r="AD4" s="739"/>
      <c r="AE4" s="739"/>
      <c r="AF4" s="739"/>
      <c r="AG4" s="739"/>
      <c r="AH4" s="742"/>
      <c r="AI4" s="743"/>
      <c r="AJ4" s="745"/>
    </row>
    <row r="5" spans="1:40" s="94" customFormat="1" ht="26.45" customHeight="1">
      <c r="A5" s="205" t="s">
        <v>379</v>
      </c>
      <c r="B5" s="206" t="s">
        <v>380</v>
      </c>
      <c r="C5" s="206" t="s">
        <v>12</v>
      </c>
      <c r="D5" s="207" t="s">
        <v>381</v>
      </c>
      <c r="E5" s="206" t="s">
        <v>382</v>
      </c>
      <c r="F5" s="206" t="s">
        <v>383</v>
      </c>
      <c r="G5" s="208" t="s">
        <v>384</v>
      </c>
      <c r="H5" s="205" t="s">
        <v>385</v>
      </c>
      <c r="I5" s="209" t="s">
        <v>25</v>
      </c>
      <c r="J5" s="206" t="s">
        <v>386</v>
      </c>
      <c r="K5" s="209" t="s">
        <v>27</v>
      </c>
      <c r="L5" s="206" t="s">
        <v>387</v>
      </c>
      <c r="M5" s="209" t="s">
        <v>388</v>
      </c>
      <c r="N5" s="206" t="s">
        <v>389</v>
      </c>
      <c r="O5" s="209" t="s">
        <v>30</v>
      </c>
      <c r="P5" s="206" t="s">
        <v>390</v>
      </c>
      <c r="Q5" s="209" t="s">
        <v>391</v>
      </c>
      <c r="R5" s="206" t="s">
        <v>392</v>
      </c>
      <c r="S5" s="209" t="s">
        <v>393</v>
      </c>
      <c r="T5" s="206" t="s">
        <v>394</v>
      </c>
      <c r="U5" s="209" t="s">
        <v>395</v>
      </c>
      <c r="V5" s="206" t="s">
        <v>396</v>
      </c>
      <c r="W5" s="209" t="s">
        <v>397</v>
      </c>
      <c r="X5" s="206" t="s">
        <v>398</v>
      </c>
      <c r="Y5" s="209" t="s">
        <v>399</v>
      </c>
      <c r="Z5" s="206" t="s">
        <v>400</v>
      </c>
      <c r="AA5" s="209" t="s">
        <v>401</v>
      </c>
      <c r="AB5" s="206" t="s">
        <v>402</v>
      </c>
      <c r="AC5" s="209" t="s">
        <v>403</v>
      </c>
      <c r="AD5" s="206" t="s">
        <v>404</v>
      </c>
      <c r="AE5" s="209" t="s">
        <v>405</v>
      </c>
      <c r="AF5" s="206" t="s">
        <v>406</v>
      </c>
      <c r="AG5" s="210" t="s">
        <v>407</v>
      </c>
      <c r="AH5" s="205" t="s">
        <v>408</v>
      </c>
      <c r="AI5" s="208" t="s">
        <v>409</v>
      </c>
      <c r="AJ5" s="211" t="s">
        <v>410</v>
      </c>
      <c r="AK5" s="649" t="s">
        <v>411</v>
      </c>
      <c r="AL5" s="650" t="s">
        <v>412</v>
      </c>
      <c r="AM5" s="649" t="s">
        <v>413</v>
      </c>
      <c r="AN5" s="682" t="s">
        <v>414</v>
      </c>
    </row>
    <row r="6" spans="1:40" s="667" customFormat="1" ht="16.5">
      <c r="A6" s="681" t="s">
        <v>57</v>
      </c>
      <c r="B6" s="661" t="str">
        <f>VLOOKUP(Tabla6[[#This Row],[SEDE]],'Cronog Junio 2026'!B3:C94,2,0)</f>
        <v>Bryan A. Urbano</v>
      </c>
      <c r="C6" s="661" t="str">
        <f>VLOOKUP(Tabla6[[#This Row],[SEDE]],'Cronog Junio 2026'!B3:G94,6,0)</f>
        <v>ADMINISTRATIVO</v>
      </c>
      <c r="D6" s="661" t="str">
        <f>VLOOKUP(Tabla6[[#This Row],[SEDE]],'Cronog Junio 2026'!B3:D94,3,0)</f>
        <v>A010010219</v>
      </c>
      <c r="E6" s="662" t="s">
        <v>415</v>
      </c>
      <c r="F6" s="663">
        <v>93.6</v>
      </c>
      <c r="G6" s="655">
        <f>+H6+J6+L6+N6+P6+R6+T6+V6+X6+Z6+AB6+AD6+AF6</f>
        <v>32</v>
      </c>
      <c r="H6" s="664">
        <v>1</v>
      </c>
      <c r="I6" s="664">
        <v>0</v>
      </c>
      <c r="J6" s="664">
        <v>7</v>
      </c>
      <c r="K6" s="664">
        <v>0</v>
      </c>
      <c r="L6" s="664">
        <v>5</v>
      </c>
      <c r="M6" s="664">
        <v>0</v>
      </c>
      <c r="N6" s="664">
        <v>12</v>
      </c>
      <c r="O6" s="664">
        <v>0</v>
      </c>
      <c r="P6" s="664">
        <v>3</v>
      </c>
      <c r="Q6" s="664">
        <v>0</v>
      </c>
      <c r="R6" s="664">
        <v>1</v>
      </c>
      <c r="S6" s="664">
        <v>0</v>
      </c>
      <c r="T6" s="664">
        <v>2</v>
      </c>
      <c r="U6" s="664">
        <v>0</v>
      </c>
      <c r="V6" s="664">
        <v>0</v>
      </c>
      <c r="W6" s="664">
        <v>0</v>
      </c>
      <c r="X6" s="664">
        <v>0</v>
      </c>
      <c r="Y6" s="664">
        <v>0</v>
      </c>
      <c r="Z6" s="664">
        <v>0</v>
      </c>
      <c r="AA6" s="664">
        <v>0</v>
      </c>
      <c r="AB6" s="664">
        <v>0</v>
      </c>
      <c r="AC6" s="664">
        <v>0</v>
      </c>
      <c r="AD6" s="664">
        <v>0</v>
      </c>
      <c r="AE6" s="664">
        <v>0</v>
      </c>
      <c r="AF6" s="664">
        <v>1</v>
      </c>
      <c r="AG6" s="664">
        <v>0</v>
      </c>
      <c r="AH6" s="663">
        <v>0</v>
      </c>
      <c r="AI6" s="663">
        <v>32</v>
      </c>
      <c r="AJ6" s="665" t="s">
        <v>416</v>
      </c>
      <c r="AK6" s="656" t="s">
        <v>417</v>
      </c>
      <c r="AL6" s="656" t="s">
        <v>418</v>
      </c>
      <c r="AM6" s="677" t="s">
        <v>419</v>
      </c>
      <c r="AN6" s="683" t="s">
        <v>420</v>
      </c>
    </row>
    <row r="7" spans="1:40" ht="15.75">
      <c r="A7" s="634"/>
      <c r="B7" s="673"/>
      <c r="C7" s="673"/>
      <c r="D7" s="673"/>
      <c r="E7" s="662" t="s">
        <v>421</v>
      </c>
      <c r="F7" s="663">
        <v>72</v>
      </c>
      <c r="G7" s="655">
        <f>+H7+J7+L7+N7+P7+R7+T7+V7+X7+Z7+AB7+AD7+AF7</f>
        <v>22</v>
      </c>
      <c r="H7" s="664">
        <v>2</v>
      </c>
      <c r="I7" s="664">
        <v>0</v>
      </c>
      <c r="J7" s="664">
        <v>3</v>
      </c>
      <c r="K7" s="664">
        <v>0</v>
      </c>
      <c r="L7" s="664">
        <v>2</v>
      </c>
      <c r="M7" s="664">
        <v>0</v>
      </c>
      <c r="N7" s="664">
        <v>9</v>
      </c>
      <c r="O7" s="664">
        <v>0</v>
      </c>
      <c r="P7" s="664">
        <v>1</v>
      </c>
      <c r="Q7" s="664">
        <v>0</v>
      </c>
      <c r="R7" s="664">
        <v>1</v>
      </c>
      <c r="S7" s="664">
        <v>0</v>
      </c>
      <c r="T7" s="664">
        <v>2</v>
      </c>
      <c r="U7" s="664">
        <v>0</v>
      </c>
      <c r="V7" s="664">
        <v>0</v>
      </c>
      <c r="W7" s="664">
        <v>0</v>
      </c>
      <c r="X7" s="664">
        <v>0</v>
      </c>
      <c r="Y7" s="664">
        <v>0</v>
      </c>
      <c r="Z7" s="664">
        <v>2</v>
      </c>
      <c r="AA7" s="664">
        <v>0</v>
      </c>
      <c r="AB7" s="664">
        <v>0</v>
      </c>
      <c r="AC7" s="664">
        <v>0</v>
      </c>
      <c r="AD7" s="664">
        <v>0</v>
      </c>
      <c r="AE7" s="664">
        <v>0</v>
      </c>
      <c r="AF7" s="664">
        <v>0</v>
      </c>
      <c r="AG7" s="664">
        <v>0</v>
      </c>
      <c r="AH7" s="663">
        <v>1</v>
      </c>
      <c r="AI7" s="663">
        <v>21</v>
      </c>
      <c r="AJ7" s="665" t="s">
        <v>422</v>
      </c>
      <c r="AK7" s="656" t="s">
        <v>417</v>
      </c>
      <c r="AL7" s="656" t="s">
        <v>418</v>
      </c>
      <c r="AM7" s="677" t="s">
        <v>419</v>
      </c>
      <c r="AN7" s="683"/>
    </row>
    <row r="8" spans="1:40" s="652" customFormat="1" ht="15.75">
      <c r="A8" s="634"/>
      <c r="B8" s="673"/>
      <c r="C8" s="673"/>
      <c r="D8" s="673"/>
      <c r="E8" s="662" t="s">
        <v>423</v>
      </c>
      <c r="F8" s="663">
        <v>83</v>
      </c>
      <c r="G8" s="655">
        <f>+H8+J8+L8+N8+P8+R8+T8+V8+X8+Z8+AB8+AD8+AF8</f>
        <v>27</v>
      </c>
      <c r="H8" s="663">
        <v>2</v>
      </c>
      <c r="I8" s="663">
        <v>0</v>
      </c>
      <c r="J8" s="663">
        <v>5</v>
      </c>
      <c r="K8" s="663">
        <v>0</v>
      </c>
      <c r="L8" s="663">
        <v>0</v>
      </c>
      <c r="M8" s="663">
        <v>0</v>
      </c>
      <c r="N8" s="663">
        <v>13</v>
      </c>
      <c r="O8" s="663">
        <v>0</v>
      </c>
      <c r="P8" s="663">
        <v>1</v>
      </c>
      <c r="Q8" s="663">
        <v>0</v>
      </c>
      <c r="R8" s="663">
        <v>2</v>
      </c>
      <c r="S8" s="663">
        <v>0</v>
      </c>
      <c r="T8" s="663">
        <v>2</v>
      </c>
      <c r="U8" s="663">
        <v>0</v>
      </c>
      <c r="V8" s="663">
        <v>0</v>
      </c>
      <c r="W8" s="663">
        <v>0</v>
      </c>
      <c r="X8" s="663">
        <v>2</v>
      </c>
      <c r="Y8" s="663">
        <v>0</v>
      </c>
      <c r="Z8" s="663">
        <v>0</v>
      </c>
      <c r="AA8" s="663">
        <v>0</v>
      </c>
      <c r="AB8" s="663">
        <v>0</v>
      </c>
      <c r="AC8" s="663">
        <v>0</v>
      </c>
      <c r="AD8" s="663">
        <v>0</v>
      </c>
      <c r="AE8" s="663">
        <v>0</v>
      </c>
      <c r="AF8" s="663">
        <v>0</v>
      </c>
      <c r="AG8" s="663">
        <v>0</v>
      </c>
      <c r="AH8" s="663">
        <v>0</v>
      </c>
      <c r="AI8" s="663">
        <v>27</v>
      </c>
      <c r="AJ8" s="665" t="s">
        <v>424</v>
      </c>
      <c r="AK8" s="656" t="s">
        <v>417</v>
      </c>
      <c r="AL8" s="656" t="s">
        <v>418</v>
      </c>
      <c r="AM8" s="677" t="s">
        <v>419</v>
      </c>
      <c r="AN8" s="684"/>
    </row>
    <row r="9" spans="1:40" s="652" customFormat="1" ht="15.75">
      <c r="A9" s="634"/>
      <c r="B9" s="212"/>
      <c r="C9" s="212"/>
      <c r="D9" s="212"/>
      <c r="E9" s="213"/>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4"/>
      <c r="AK9" s="629"/>
      <c r="AL9" s="629"/>
      <c r="AM9" s="629"/>
      <c r="AN9" s="683"/>
    </row>
    <row r="10" spans="1:40" ht="15.75">
      <c r="A10" s="654" t="s">
        <v>67</v>
      </c>
      <c r="B10" s="656" t="str">
        <f>VLOOKUP(Tabla6[[#This Row],[SEDE]],'Cronog Junio 2026'!B4:C95,2,0)</f>
        <v>Bryan A. Urbano</v>
      </c>
      <c r="C10" s="656" t="str">
        <f>VLOOKUP(Tabla6[[#This Row],[SEDE]],'Cronog Junio 2026'!B4:G95,6,0)</f>
        <v>EDUCACION</v>
      </c>
      <c r="D10" s="656" t="str">
        <f>VLOOKUP(Tabla6[[#This Row],[SEDE]],'Cronog Junio 2026'!B4:D95,3,0)</f>
        <v>E010010205</v>
      </c>
      <c r="E10" s="657" t="s">
        <v>425</v>
      </c>
      <c r="F10" s="655">
        <v>40</v>
      </c>
      <c r="G10" s="655">
        <f>+H10+J10+L10+N10+P10+R10+T10+V10+X10+Z10+AB10+AD10+AF10</f>
        <v>45</v>
      </c>
      <c r="H10" s="658">
        <v>11</v>
      </c>
      <c r="I10" s="658">
        <v>0</v>
      </c>
      <c r="J10" s="658">
        <v>2</v>
      </c>
      <c r="K10" s="658">
        <v>0</v>
      </c>
      <c r="L10" s="658">
        <v>4</v>
      </c>
      <c r="M10" s="658">
        <v>0</v>
      </c>
      <c r="N10" s="658">
        <v>11</v>
      </c>
      <c r="O10" s="658">
        <v>0</v>
      </c>
      <c r="P10" s="658">
        <v>12</v>
      </c>
      <c r="Q10" s="658">
        <v>0</v>
      </c>
      <c r="R10" s="658">
        <v>2</v>
      </c>
      <c r="S10" s="658">
        <v>0</v>
      </c>
      <c r="T10" s="658">
        <v>1</v>
      </c>
      <c r="U10" s="658">
        <v>0</v>
      </c>
      <c r="V10" s="658">
        <v>0</v>
      </c>
      <c r="W10" s="658">
        <v>0</v>
      </c>
      <c r="X10" s="658">
        <v>0</v>
      </c>
      <c r="Y10" s="658">
        <v>0</v>
      </c>
      <c r="Z10" s="658">
        <v>0</v>
      </c>
      <c r="AA10" s="658">
        <v>0</v>
      </c>
      <c r="AB10" s="658">
        <v>0</v>
      </c>
      <c r="AC10" s="658">
        <v>0</v>
      </c>
      <c r="AD10" s="658">
        <v>2</v>
      </c>
      <c r="AE10" s="658">
        <v>0</v>
      </c>
      <c r="AF10" s="658">
        <v>0</v>
      </c>
      <c r="AG10" s="658">
        <v>0</v>
      </c>
      <c r="AH10" s="655">
        <v>10</v>
      </c>
      <c r="AI10" s="655">
        <v>35</v>
      </c>
      <c r="AJ10" s="659" t="s">
        <v>426</v>
      </c>
      <c r="AK10" s="656" t="s">
        <v>427</v>
      </c>
      <c r="AL10" s="656" t="s">
        <v>418</v>
      </c>
      <c r="AM10" s="677" t="s">
        <v>419</v>
      </c>
      <c r="AN10" s="683" t="s">
        <v>428</v>
      </c>
    </row>
    <row r="11" spans="1:40" ht="15.75">
      <c r="A11" s="634"/>
      <c r="B11" s="629"/>
      <c r="C11" s="629"/>
      <c r="D11" s="629"/>
      <c r="E11" s="657" t="s">
        <v>429</v>
      </c>
      <c r="F11" s="655">
        <v>32</v>
      </c>
      <c r="G11" s="655">
        <f>+H11+J11+L11+N11+P11+R11+T11+V11+X11+Z11+AB11+AD11+AF11</f>
        <v>35</v>
      </c>
      <c r="H11" s="658">
        <v>7</v>
      </c>
      <c r="I11" s="658">
        <v>0</v>
      </c>
      <c r="J11" s="658">
        <v>2</v>
      </c>
      <c r="K11" s="658">
        <v>0</v>
      </c>
      <c r="L11" s="658">
        <v>0</v>
      </c>
      <c r="M11" s="658">
        <v>0</v>
      </c>
      <c r="N11" s="658">
        <v>8</v>
      </c>
      <c r="O11" s="658">
        <v>0</v>
      </c>
      <c r="P11" s="658">
        <v>15</v>
      </c>
      <c r="Q11" s="658">
        <v>0</v>
      </c>
      <c r="R11" s="658">
        <v>1</v>
      </c>
      <c r="S11" s="658">
        <v>0</v>
      </c>
      <c r="T11" s="658">
        <v>0</v>
      </c>
      <c r="U11" s="658">
        <v>0</v>
      </c>
      <c r="V11" s="658">
        <v>0</v>
      </c>
      <c r="W11" s="658">
        <v>0</v>
      </c>
      <c r="X11" s="658">
        <v>0</v>
      </c>
      <c r="Y11" s="658">
        <v>0</v>
      </c>
      <c r="Z11" s="658">
        <v>0</v>
      </c>
      <c r="AA11" s="658">
        <v>0</v>
      </c>
      <c r="AB11" s="658">
        <v>0</v>
      </c>
      <c r="AC11" s="658">
        <v>0</v>
      </c>
      <c r="AD11" s="658">
        <v>2</v>
      </c>
      <c r="AE11" s="658">
        <v>0</v>
      </c>
      <c r="AF11" s="658">
        <v>0</v>
      </c>
      <c r="AG11" s="658">
        <v>0</v>
      </c>
      <c r="AH11" s="655">
        <v>8</v>
      </c>
      <c r="AI11" s="655">
        <v>27</v>
      </c>
      <c r="AJ11" s="659" t="s">
        <v>430</v>
      </c>
      <c r="AK11" s="656" t="s">
        <v>427</v>
      </c>
      <c r="AL11" s="656" t="s">
        <v>418</v>
      </c>
      <c r="AM11" s="677" t="s">
        <v>419</v>
      </c>
      <c r="AN11" s="683"/>
    </row>
    <row r="12" spans="1:40" ht="15.75">
      <c r="A12" s="634"/>
      <c r="B12" s="629"/>
      <c r="C12" s="629"/>
      <c r="D12" s="629"/>
      <c r="E12" s="630" t="s">
        <v>237</v>
      </c>
      <c r="F12" s="631">
        <v>32</v>
      </c>
      <c r="G12" s="655">
        <f>+H12+J12+L12+N12+P12+R12+T12+V12+X12+Z12+AB12+AD12+AF12</f>
        <v>39</v>
      </c>
      <c r="H12" s="631">
        <v>1</v>
      </c>
      <c r="I12" s="631">
        <v>0</v>
      </c>
      <c r="J12" s="631">
        <v>2</v>
      </c>
      <c r="K12" s="631">
        <v>0</v>
      </c>
      <c r="L12" s="631">
        <v>0</v>
      </c>
      <c r="M12" s="631">
        <v>0</v>
      </c>
      <c r="N12" s="631">
        <v>18</v>
      </c>
      <c r="O12" s="631">
        <v>0</v>
      </c>
      <c r="P12" s="631">
        <v>9</v>
      </c>
      <c r="Q12" s="631">
        <v>0</v>
      </c>
      <c r="R12" s="631">
        <v>4</v>
      </c>
      <c r="S12" s="631">
        <v>0</v>
      </c>
      <c r="T12" s="631">
        <v>5</v>
      </c>
      <c r="U12" s="631">
        <v>0</v>
      </c>
      <c r="V12" s="631">
        <v>0</v>
      </c>
      <c r="W12" s="631">
        <v>0</v>
      </c>
      <c r="X12" s="631">
        <v>0</v>
      </c>
      <c r="Y12" s="631">
        <v>0</v>
      </c>
      <c r="Z12" s="631">
        <v>0</v>
      </c>
      <c r="AA12" s="631">
        <v>0</v>
      </c>
      <c r="AB12" s="631">
        <v>0</v>
      </c>
      <c r="AC12" s="631">
        <v>0</v>
      </c>
      <c r="AD12" s="631">
        <v>0</v>
      </c>
      <c r="AE12" s="631">
        <v>0</v>
      </c>
      <c r="AF12" s="631">
        <v>0</v>
      </c>
      <c r="AG12" s="631">
        <v>0</v>
      </c>
      <c r="AH12" s="631">
        <v>6</v>
      </c>
      <c r="AI12" s="631">
        <v>33</v>
      </c>
      <c r="AJ12" s="633" t="s">
        <v>431</v>
      </c>
      <c r="AK12" s="656" t="s">
        <v>417</v>
      </c>
      <c r="AL12" s="656" t="s">
        <v>418</v>
      </c>
      <c r="AM12" s="677" t="s">
        <v>419</v>
      </c>
      <c r="AN12" s="683"/>
    </row>
    <row r="13" spans="1:40" ht="15.75">
      <c r="A13" s="634"/>
      <c r="B13" s="629"/>
      <c r="C13" s="629"/>
      <c r="D13" s="629"/>
      <c r="E13" s="630"/>
      <c r="F13" s="631"/>
      <c r="G13" s="631"/>
      <c r="H13" s="631"/>
      <c r="I13" s="631"/>
      <c r="J13" s="631"/>
      <c r="K13" s="631"/>
      <c r="L13" s="631"/>
      <c r="M13" s="631"/>
      <c r="N13" s="631"/>
      <c r="O13" s="631"/>
      <c r="P13" s="631"/>
      <c r="Q13" s="631"/>
      <c r="R13" s="631"/>
      <c r="S13" s="631"/>
      <c r="T13" s="631"/>
      <c r="U13" s="631"/>
      <c r="V13" s="631"/>
      <c r="W13" s="631"/>
      <c r="X13" s="631"/>
      <c r="Y13" s="631"/>
      <c r="Z13" s="631"/>
      <c r="AA13" s="631"/>
      <c r="AB13" s="631"/>
      <c r="AC13" s="631"/>
      <c r="AD13" s="631"/>
      <c r="AE13" s="631"/>
      <c r="AF13" s="631"/>
      <c r="AG13" s="631"/>
      <c r="AH13" s="631"/>
      <c r="AI13" s="631"/>
      <c r="AJ13" s="633"/>
      <c r="AK13" s="629"/>
      <c r="AL13" s="629"/>
      <c r="AM13" s="629"/>
      <c r="AN13" s="683"/>
    </row>
    <row r="14" spans="1:40" ht="15.75">
      <c r="A14" s="654" t="s">
        <v>72</v>
      </c>
      <c r="B14" s="656" t="str">
        <f>VLOOKUP(Tabla6[[#This Row],[SEDE]],'Cronog Junio 2026'!B5:C96,2,0)</f>
        <v>Bryan A. Urbano</v>
      </c>
      <c r="C14" s="656" t="str">
        <f>VLOOKUP(Tabla6[[#This Row],[SEDE]],'Cronog Junio 2026'!B5:G96,6,0)</f>
        <v>SALUD</v>
      </c>
      <c r="D14" s="656" t="str">
        <f>VLOOKUP(Tabla6[[#This Row],[SEDE]],'Cronog Junio 2026'!B5:D96,3,0)</f>
        <v>S010010205</v>
      </c>
      <c r="E14" s="657" t="s">
        <v>415</v>
      </c>
      <c r="F14" s="655">
        <v>48</v>
      </c>
      <c r="G14" s="655">
        <f t="shared" ref="G14:G79" si="0">+H14+J14+L14+N14+P14+R14+T14+V14+X14+Z14+AB14+AD14+AF14</f>
        <v>35</v>
      </c>
      <c r="H14" s="658">
        <v>0</v>
      </c>
      <c r="I14" s="658">
        <v>0</v>
      </c>
      <c r="J14" s="658">
        <v>0</v>
      </c>
      <c r="K14" s="658">
        <v>0</v>
      </c>
      <c r="L14" s="658">
        <v>0</v>
      </c>
      <c r="M14" s="658">
        <v>0</v>
      </c>
      <c r="N14" s="658">
        <v>2</v>
      </c>
      <c r="O14" s="658">
        <v>0</v>
      </c>
      <c r="P14" s="658">
        <v>31</v>
      </c>
      <c r="Q14" s="658">
        <v>0</v>
      </c>
      <c r="R14" s="658">
        <v>0</v>
      </c>
      <c r="S14" s="658">
        <v>0</v>
      </c>
      <c r="T14" s="658">
        <v>0</v>
      </c>
      <c r="U14" s="658">
        <v>0</v>
      </c>
      <c r="V14" s="658">
        <v>0</v>
      </c>
      <c r="W14" s="658">
        <v>0</v>
      </c>
      <c r="X14" s="658">
        <v>2</v>
      </c>
      <c r="Y14" s="658">
        <v>0</v>
      </c>
      <c r="Z14" s="658">
        <v>0</v>
      </c>
      <c r="AA14" s="658">
        <v>0</v>
      </c>
      <c r="AB14" s="658">
        <v>0</v>
      </c>
      <c r="AC14" s="658">
        <v>0</v>
      </c>
      <c r="AD14" s="658">
        <v>0</v>
      </c>
      <c r="AE14" s="658">
        <v>0</v>
      </c>
      <c r="AF14" s="658">
        <v>0</v>
      </c>
      <c r="AG14" s="658">
        <v>0</v>
      </c>
      <c r="AH14" s="655">
        <v>13</v>
      </c>
      <c r="AI14" s="655">
        <v>22</v>
      </c>
      <c r="AJ14" s="659" t="s">
        <v>432</v>
      </c>
      <c r="AK14" s="656" t="s">
        <v>417</v>
      </c>
      <c r="AL14" s="656" t="s">
        <v>418</v>
      </c>
      <c r="AM14" s="677" t="s">
        <v>419</v>
      </c>
      <c r="AN14" s="683" t="s">
        <v>433</v>
      </c>
    </row>
    <row r="15" spans="1:40" ht="15.75">
      <c r="A15" s="634"/>
      <c r="B15" s="629"/>
      <c r="C15" s="629"/>
      <c r="D15" s="629"/>
      <c r="E15" s="657" t="s">
        <v>421</v>
      </c>
      <c r="F15" s="655">
        <v>40</v>
      </c>
      <c r="G15" s="655">
        <f>+H15+J15+L15+N15+P15+R15+T15+V15+X15+Z15+AB15+AD15+AF15</f>
        <v>29</v>
      </c>
      <c r="H15" s="658">
        <v>0</v>
      </c>
      <c r="I15" s="658">
        <v>0</v>
      </c>
      <c r="J15" s="658">
        <v>0</v>
      </c>
      <c r="K15" s="658">
        <v>0</v>
      </c>
      <c r="L15" s="658">
        <v>0</v>
      </c>
      <c r="M15" s="658">
        <v>0</v>
      </c>
      <c r="N15" s="658">
        <v>7</v>
      </c>
      <c r="O15" s="658">
        <v>0</v>
      </c>
      <c r="P15" s="658">
        <v>20</v>
      </c>
      <c r="Q15" s="658">
        <v>0</v>
      </c>
      <c r="R15" s="658">
        <v>0</v>
      </c>
      <c r="S15" s="658">
        <v>0</v>
      </c>
      <c r="T15" s="658">
        <v>0</v>
      </c>
      <c r="U15" s="658">
        <v>0</v>
      </c>
      <c r="V15" s="658">
        <v>0</v>
      </c>
      <c r="W15" s="658">
        <v>0</v>
      </c>
      <c r="X15" s="658">
        <v>2</v>
      </c>
      <c r="Y15" s="658">
        <v>0</v>
      </c>
      <c r="Z15" s="658">
        <v>0</v>
      </c>
      <c r="AA15" s="658">
        <v>0</v>
      </c>
      <c r="AB15" s="658">
        <v>0</v>
      </c>
      <c r="AC15" s="658">
        <v>0</v>
      </c>
      <c r="AD15" s="658">
        <v>0</v>
      </c>
      <c r="AE15" s="658">
        <v>0</v>
      </c>
      <c r="AF15" s="658">
        <v>0</v>
      </c>
      <c r="AG15" s="658">
        <v>0</v>
      </c>
      <c r="AH15" s="655">
        <v>8</v>
      </c>
      <c r="AI15" s="655">
        <v>21</v>
      </c>
      <c r="AJ15" s="659" t="s">
        <v>434</v>
      </c>
      <c r="AK15" s="656" t="s">
        <v>417</v>
      </c>
      <c r="AL15" s="656" t="s">
        <v>418</v>
      </c>
      <c r="AM15" s="677" t="s">
        <v>419</v>
      </c>
      <c r="AN15" s="683"/>
    </row>
    <row r="16" spans="1:40" ht="15.75">
      <c r="A16" s="634"/>
      <c r="B16" s="629"/>
      <c r="C16" s="629"/>
      <c r="D16" s="629"/>
      <c r="E16" s="630"/>
      <c r="F16" s="631"/>
      <c r="G16" s="631"/>
      <c r="H16" s="631"/>
      <c r="I16" s="631"/>
      <c r="J16" s="631"/>
      <c r="K16" s="631"/>
      <c r="L16" s="631"/>
      <c r="M16" s="631"/>
      <c r="N16" s="631"/>
      <c r="O16" s="631"/>
      <c r="P16" s="631"/>
      <c r="Q16" s="631"/>
      <c r="R16" s="631"/>
      <c r="S16" s="631"/>
      <c r="T16" s="631"/>
      <c r="U16" s="631"/>
      <c r="V16" s="631"/>
      <c r="W16" s="631"/>
      <c r="X16" s="631"/>
      <c r="Y16" s="631"/>
      <c r="Z16" s="631"/>
      <c r="AA16" s="631"/>
      <c r="AB16" s="631"/>
      <c r="AC16" s="631"/>
      <c r="AD16" s="631"/>
      <c r="AE16" s="631"/>
      <c r="AF16" s="631"/>
      <c r="AG16" s="631"/>
      <c r="AH16" s="631"/>
      <c r="AI16" s="631"/>
      <c r="AJ16" s="633"/>
      <c r="AK16" s="629"/>
      <c r="AL16" s="629"/>
      <c r="AM16" s="629"/>
      <c r="AN16" s="683"/>
    </row>
    <row r="17" spans="1:40" ht="15.75">
      <c r="A17" s="654" t="s">
        <v>75</v>
      </c>
      <c r="B17" s="656" t="str">
        <f>VLOOKUP(Tabla6[[#This Row],[SEDE]],'Cronog Junio 2026'!B6:C97,2,0)</f>
        <v>Hans Blake Salas Millan</v>
      </c>
      <c r="C17" s="656" t="str">
        <f>VLOOKUP(Tabla6[[#This Row],[SEDE]],'Cronog Junio 2026'!B6:G97,6,0)</f>
        <v>RECREACION</v>
      </c>
      <c r="D17" s="656" t="str">
        <f>VLOOKUP(Tabla6[[#This Row],[SEDE]],'Cronog Junio 2026'!B6:D97,3,0)</f>
        <v>R010210205</v>
      </c>
      <c r="E17" s="657" t="s">
        <v>435</v>
      </c>
      <c r="F17" s="655">
        <v>88</v>
      </c>
      <c r="G17" s="655">
        <f>+H17+J17+L17+N17+P17+R17+T17+V17+X17+Z17+AB17+AD17+AF17</f>
        <v>30</v>
      </c>
      <c r="H17" s="658">
        <v>11</v>
      </c>
      <c r="I17" s="658">
        <v>0</v>
      </c>
      <c r="J17" s="658">
        <v>4</v>
      </c>
      <c r="K17" s="658">
        <v>0</v>
      </c>
      <c r="L17" s="658">
        <v>10</v>
      </c>
      <c r="M17" s="658">
        <v>0</v>
      </c>
      <c r="N17" s="658">
        <v>0</v>
      </c>
      <c r="O17" s="658">
        <v>0</v>
      </c>
      <c r="P17" s="658">
        <v>0</v>
      </c>
      <c r="Q17" s="658">
        <v>0</v>
      </c>
      <c r="R17" s="658">
        <v>0</v>
      </c>
      <c r="S17" s="658">
        <v>0</v>
      </c>
      <c r="T17" s="658">
        <v>0</v>
      </c>
      <c r="U17" s="658">
        <v>0</v>
      </c>
      <c r="V17" s="658">
        <v>0</v>
      </c>
      <c r="W17" s="658">
        <v>0</v>
      </c>
      <c r="X17" s="658">
        <v>5</v>
      </c>
      <c r="Y17" s="658">
        <v>0</v>
      </c>
      <c r="Z17" s="658">
        <v>0</v>
      </c>
      <c r="AA17" s="658">
        <v>0</v>
      </c>
      <c r="AB17" s="658">
        <v>0</v>
      </c>
      <c r="AC17" s="658">
        <v>0</v>
      </c>
      <c r="AD17" s="658">
        <v>0</v>
      </c>
      <c r="AE17" s="658">
        <v>0</v>
      </c>
      <c r="AF17" s="658">
        <v>0</v>
      </c>
      <c r="AG17" s="658">
        <v>0</v>
      </c>
      <c r="AH17" s="655">
        <v>6</v>
      </c>
      <c r="AI17" s="655">
        <v>24</v>
      </c>
      <c r="AJ17" s="659" t="s">
        <v>436</v>
      </c>
      <c r="AK17" s="656" t="s">
        <v>427</v>
      </c>
      <c r="AL17" s="656" t="s">
        <v>418</v>
      </c>
      <c r="AM17" s="677" t="s">
        <v>419</v>
      </c>
      <c r="AN17" s="683" t="s">
        <v>437</v>
      </c>
    </row>
    <row r="18" spans="1:40" ht="15.75">
      <c r="A18" s="634"/>
      <c r="B18" s="669"/>
      <c r="C18" s="669"/>
      <c r="D18" s="669"/>
      <c r="E18" s="657" t="s">
        <v>421</v>
      </c>
      <c r="F18" s="655">
        <v>71</v>
      </c>
      <c r="G18" s="655">
        <f>+H18+J18+L18+N18+P18+R18+T18+V18+X18+Z18+AB18+AD18+AF18</f>
        <v>22</v>
      </c>
      <c r="H18" s="658">
        <v>5</v>
      </c>
      <c r="I18" s="658">
        <v>0</v>
      </c>
      <c r="J18" s="658">
        <v>4</v>
      </c>
      <c r="K18" s="658">
        <v>0</v>
      </c>
      <c r="L18" s="658">
        <v>13</v>
      </c>
      <c r="M18" s="658">
        <v>0</v>
      </c>
      <c r="N18" s="658">
        <v>0</v>
      </c>
      <c r="O18" s="658">
        <v>0</v>
      </c>
      <c r="P18" s="658">
        <v>0</v>
      </c>
      <c r="Q18" s="658">
        <v>0</v>
      </c>
      <c r="R18" s="658">
        <v>0</v>
      </c>
      <c r="S18" s="658">
        <v>0</v>
      </c>
      <c r="T18" s="658">
        <v>0</v>
      </c>
      <c r="U18" s="658">
        <v>0</v>
      </c>
      <c r="V18" s="658">
        <v>0</v>
      </c>
      <c r="W18" s="658">
        <v>0</v>
      </c>
      <c r="X18" s="658">
        <v>0</v>
      </c>
      <c r="Y18" s="658">
        <v>0</v>
      </c>
      <c r="Z18" s="658">
        <v>0</v>
      </c>
      <c r="AA18" s="658">
        <v>0</v>
      </c>
      <c r="AB18" s="658">
        <v>0</v>
      </c>
      <c r="AC18" s="658">
        <v>0</v>
      </c>
      <c r="AD18" s="658">
        <v>0</v>
      </c>
      <c r="AE18" s="658">
        <v>0</v>
      </c>
      <c r="AF18" s="658">
        <v>0</v>
      </c>
      <c r="AG18" s="658">
        <v>0</v>
      </c>
      <c r="AH18" s="655">
        <v>1</v>
      </c>
      <c r="AI18" s="655">
        <v>21</v>
      </c>
      <c r="AJ18" s="659" t="s">
        <v>438</v>
      </c>
      <c r="AK18" s="656" t="s">
        <v>427</v>
      </c>
      <c r="AL18" s="656" t="s">
        <v>418</v>
      </c>
      <c r="AM18" s="677" t="s">
        <v>419</v>
      </c>
      <c r="AN18" s="683"/>
    </row>
    <row r="19" spans="1:40" ht="15.75">
      <c r="A19" s="634"/>
      <c r="B19" s="629"/>
      <c r="C19" s="629"/>
      <c r="D19" s="629"/>
      <c r="E19" s="630" t="s">
        <v>439</v>
      </c>
      <c r="F19" s="631">
        <v>72</v>
      </c>
      <c r="G19" s="631">
        <f>+H19+J19+L19+N19+P19+R19+T19+V19+X19+Z19+AB19+AD19+AF19</f>
        <v>18</v>
      </c>
      <c r="H19" s="632">
        <v>1</v>
      </c>
      <c r="I19" s="632">
        <v>0</v>
      </c>
      <c r="J19" s="632">
        <v>2</v>
      </c>
      <c r="K19" s="632">
        <v>0</v>
      </c>
      <c r="L19" s="632">
        <v>13</v>
      </c>
      <c r="M19" s="632">
        <v>0</v>
      </c>
      <c r="N19" s="632">
        <v>1</v>
      </c>
      <c r="O19" s="632">
        <v>0</v>
      </c>
      <c r="P19" s="632">
        <v>0</v>
      </c>
      <c r="Q19" s="632">
        <v>0</v>
      </c>
      <c r="R19" s="632">
        <v>0</v>
      </c>
      <c r="S19" s="632">
        <v>0</v>
      </c>
      <c r="T19" s="632">
        <v>1</v>
      </c>
      <c r="U19" s="632">
        <v>0</v>
      </c>
      <c r="V19" s="632">
        <v>0</v>
      </c>
      <c r="W19" s="632">
        <v>0</v>
      </c>
      <c r="X19" s="632">
        <v>0</v>
      </c>
      <c r="Y19" s="632">
        <v>0</v>
      </c>
      <c r="Z19" s="632">
        <v>0</v>
      </c>
      <c r="AA19" s="632">
        <v>0</v>
      </c>
      <c r="AB19" s="632">
        <v>0</v>
      </c>
      <c r="AC19" s="632">
        <v>0</v>
      </c>
      <c r="AD19" s="632">
        <v>0</v>
      </c>
      <c r="AE19" s="632">
        <v>0</v>
      </c>
      <c r="AF19" s="632">
        <v>0</v>
      </c>
      <c r="AG19" s="632">
        <v>0</v>
      </c>
      <c r="AH19" s="631">
        <v>10</v>
      </c>
      <c r="AI19" s="631">
        <v>8</v>
      </c>
      <c r="AJ19" s="633" t="s">
        <v>440</v>
      </c>
      <c r="AK19" s="656" t="s">
        <v>417</v>
      </c>
      <c r="AL19" s="656" t="s">
        <v>418</v>
      </c>
      <c r="AM19" s="677" t="s">
        <v>419</v>
      </c>
      <c r="AN19" s="683"/>
    </row>
    <row r="20" spans="1:40" ht="15.75">
      <c r="A20" s="634"/>
      <c r="B20" s="669"/>
      <c r="C20" s="669"/>
      <c r="D20" s="669"/>
      <c r="E20" s="630"/>
      <c r="F20" s="631"/>
      <c r="G20" s="631"/>
      <c r="H20" s="631"/>
      <c r="I20" s="631"/>
      <c r="J20" s="631"/>
      <c r="K20" s="631"/>
      <c r="L20" s="631"/>
      <c r="M20" s="631"/>
      <c r="N20" s="631"/>
      <c r="O20" s="631"/>
      <c r="P20" s="631"/>
      <c r="Q20" s="631"/>
      <c r="R20" s="631"/>
      <c r="S20" s="631"/>
      <c r="T20" s="631"/>
      <c r="U20" s="631"/>
      <c r="V20" s="631"/>
      <c r="W20" s="631"/>
      <c r="X20" s="631"/>
      <c r="Y20" s="631"/>
      <c r="Z20" s="631"/>
      <c r="AA20" s="631"/>
      <c r="AB20" s="631"/>
      <c r="AC20" s="631"/>
      <c r="AD20" s="631"/>
      <c r="AE20" s="631"/>
      <c r="AF20" s="631"/>
      <c r="AG20" s="631"/>
      <c r="AH20" s="631"/>
      <c r="AI20" s="631"/>
      <c r="AJ20" s="633"/>
      <c r="AK20" s="629"/>
      <c r="AL20" s="629"/>
      <c r="AM20" s="629"/>
      <c r="AN20" s="683"/>
    </row>
    <row r="21" spans="1:40" ht="15.75">
      <c r="A21" s="654" t="s">
        <v>80</v>
      </c>
      <c r="B21" s="656" t="str">
        <f>VLOOKUP(Tabla6[[#This Row],[SEDE]],'Cronog Junio 2026'!B7:C98,2,0)</f>
        <v>Hans Blake Salas Millan</v>
      </c>
      <c r="C21" s="656" t="str">
        <f>VLOOKUP(Tabla6[[#This Row],[SEDE]],'Cronog Junio 2026'!B7:G98,6,0)</f>
        <v>EDUCACION</v>
      </c>
      <c r="D21" s="656" t="str">
        <f>VLOOKUP(Tabla6[[#This Row],[SEDE]],'Cronog Junio 2026'!B7:D98,3,0)</f>
        <v>E010030205</v>
      </c>
      <c r="E21" s="657" t="s">
        <v>425</v>
      </c>
      <c r="F21" s="655">
        <v>80</v>
      </c>
      <c r="G21" s="655">
        <f>+H21+J21+L21+N21+P21+R21+T21+V21+X21+Z21+AB21+AD21+AF21</f>
        <v>14</v>
      </c>
      <c r="H21" s="658">
        <v>0</v>
      </c>
      <c r="I21" s="658">
        <v>0</v>
      </c>
      <c r="J21" s="658">
        <v>0</v>
      </c>
      <c r="K21" s="658">
        <v>0</v>
      </c>
      <c r="L21" s="658">
        <v>2</v>
      </c>
      <c r="M21" s="658">
        <v>0</v>
      </c>
      <c r="N21" s="658">
        <v>2</v>
      </c>
      <c r="O21" s="658">
        <v>0</v>
      </c>
      <c r="P21" s="658">
        <v>1</v>
      </c>
      <c r="Q21" s="658">
        <v>0</v>
      </c>
      <c r="R21" s="658">
        <v>2</v>
      </c>
      <c r="S21" s="658">
        <v>0</v>
      </c>
      <c r="T21" s="658">
        <v>0</v>
      </c>
      <c r="U21" s="658">
        <v>0</v>
      </c>
      <c r="V21" s="658">
        <v>0</v>
      </c>
      <c r="W21" s="658">
        <v>0</v>
      </c>
      <c r="X21" s="658">
        <v>2</v>
      </c>
      <c r="Y21" s="658">
        <v>0</v>
      </c>
      <c r="Z21" s="658">
        <v>0</v>
      </c>
      <c r="AA21" s="658">
        <v>0</v>
      </c>
      <c r="AB21" s="658">
        <v>4</v>
      </c>
      <c r="AC21" s="658">
        <v>0</v>
      </c>
      <c r="AD21" s="658">
        <v>1</v>
      </c>
      <c r="AE21" s="658">
        <v>0</v>
      </c>
      <c r="AF21" s="658">
        <v>0</v>
      </c>
      <c r="AG21" s="658">
        <v>0</v>
      </c>
      <c r="AH21" s="655">
        <v>10</v>
      </c>
      <c r="AI21" s="655">
        <v>4</v>
      </c>
      <c r="AJ21" s="659" t="s">
        <v>441</v>
      </c>
      <c r="AK21" s="656" t="s">
        <v>427</v>
      </c>
      <c r="AL21" s="656" t="s">
        <v>418</v>
      </c>
      <c r="AM21" s="677" t="s">
        <v>419</v>
      </c>
      <c r="AN21" s="683" t="s">
        <v>428</v>
      </c>
    </row>
    <row r="22" spans="1:40" ht="15.75">
      <c r="A22" s="654"/>
      <c r="B22" s="656"/>
      <c r="C22" s="656"/>
      <c r="D22" s="656"/>
      <c r="E22" s="657" t="s">
        <v>442</v>
      </c>
      <c r="F22" s="655">
        <v>72</v>
      </c>
      <c r="G22" s="655">
        <f>+H22+J22+L22+N22+P22+R22+T22+V22+X22+Z22+AB22+AD22+AF22</f>
        <v>19</v>
      </c>
      <c r="H22" s="658">
        <v>4</v>
      </c>
      <c r="I22" s="658">
        <v>0</v>
      </c>
      <c r="J22" s="658">
        <v>2</v>
      </c>
      <c r="K22" s="658">
        <v>0</v>
      </c>
      <c r="L22" s="658">
        <v>1</v>
      </c>
      <c r="M22" s="658">
        <v>0</v>
      </c>
      <c r="N22" s="658">
        <v>4</v>
      </c>
      <c r="O22" s="658">
        <v>0</v>
      </c>
      <c r="P22" s="658">
        <v>1</v>
      </c>
      <c r="Q22" s="658">
        <v>0</v>
      </c>
      <c r="R22" s="658">
        <v>1</v>
      </c>
      <c r="S22" s="658">
        <v>0</v>
      </c>
      <c r="T22" s="658">
        <v>0</v>
      </c>
      <c r="U22" s="658">
        <v>0</v>
      </c>
      <c r="V22" s="658">
        <v>0</v>
      </c>
      <c r="W22" s="658">
        <v>0</v>
      </c>
      <c r="X22" s="658">
        <v>2</v>
      </c>
      <c r="Y22" s="658">
        <v>0</v>
      </c>
      <c r="Z22" s="658">
        <v>0</v>
      </c>
      <c r="AA22" s="658">
        <v>0</v>
      </c>
      <c r="AB22" s="658">
        <v>4</v>
      </c>
      <c r="AC22" s="658">
        <v>0</v>
      </c>
      <c r="AD22" s="658">
        <v>0</v>
      </c>
      <c r="AE22" s="658">
        <v>0</v>
      </c>
      <c r="AF22" s="658">
        <v>0</v>
      </c>
      <c r="AG22" s="658">
        <v>0</v>
      </c>
      <c r="AH22" s="655">
        <v>7</v>
      </c>
      <c r="AI22" s="655">
        <v>12</v>
      </c>
      <c r="AJ22" s="659" t="s">
        <v>443</v>
      </c>
      <c r="AK22" s="656" t="s">
        <v>427</v>
      </c>
      <c r="AL22" s="656" t="s">
        <v>418</v>
      </c>
      <c r="AM22" s="677" t="s">
        <v>419</v>
      </c>
      <c r="AN22" s="683"/>
    </row>
    <row r="23" spans="1:40" ht="15.75">
      <c r="A23" s="634"/>
      <c r="B23" s="629"/>
      <c r="C23" s="629"/>
      <c r="D23" s="629"/>
      <c r="E23" s="630" t="s">
        <v>439</v>
      </c>
      <c r="F23" s="631">
        <v>72.599999999999994</v>
      </c>
      <c r="G23" s="655">
        <f>+H23+J23+L23+N23+P23+R23+T23+V23+X23+Z23+AB23+AD23+AF23</f>
        <v>22</v>
      </c>
      <c r="H23" s="631">
        <v>3</v>
      </c>
      <c r="I23" s="631">
        <v>0</v>
      </c>
      <c r="J23" s="631">
        <v>1</v>
      </c>
      <c r="K23" s="631">
        <v>0</v>
      </c>
      <c r="L23" s="631">
        <v>3</v>
      </c>
      <c r="M23" s="631">
        <v>0</v>
      </c>
      <c r="N23" s="631">
        <v>9</v>
      </c>
      <c r="O23" s="631">
        <v>0</v>
      </c>
      <c r="P23" s="631">
        <v>0</v>
      </c>
      <c r="Q23" s="631">
        <v>0</v>
      </c>
      <c r="R23" s="631">
        <v>2</v>
      </c>
      <c r="S23" s="631">
        <v>0</v>
      </c>
      <c r="T23" s="631">
        <v>0</v>
      </c>
      <c r="U23" s="631">
        <v>0</v>
      </c>
      <c r="V23" s="631">
        <v>0</v>
      </c>
      <c r="W23" s="631">
        <v>0</v>
      </c>
      <c r="X23" s="631">
        <v>0</v>
      </c>
      <c r="Y23" s="631">
        <v>0</v>
      </c>
      <c r="Z23" s="631">
        <v>0</v>
      </c>
      <c r="AA23" s="631">
        <v>0</v>
      </c>
      <c r="AB23" s="631">
        <v>4</v>
      </c>
      <c r="AC23" s="631">
        <v>0</v>
      </c>
      <c r="AD23" s="631">
        <v>0</v>
      </c>
      <c r="AE23" s="631">
        <v>0</v>
      </c>
      <c r="AF23" s="631">
        <v>0</v>
      </c>
      <c r="AG23" s="631">
        <v>0</v>
      </c>
      <c r="AH23" s="631">
        <v>3</v>
      </c>
      <c r="AI23" s="631">
        <v>19</v>
      </c>
      <c r="AJ23" s="633" t="s">
        <v>444</v>
      </c>
      <c r="AK23" s="669" t="s">
        <v>417</v>
      </c>
      <c r="AL23" s="669" t="s">
        <v>418</v>
      </c>
      <c r="AM23" s="689" t="s">
        <v>445</v>
      </c>
      <c r="AN23" s="683"/>
    </row>
    <row r="24" spans="1:40" ht="15.75">
      <c r="A24" s="634"/>
      <c r="B24" s="629"/>
      <c r="C24" s="629"/>
      <c r="D24" s="629"/>
      <c r="E24" s="630"/>
      <c r="F24" s="631"/>
      <c r="G24" s="631"/>
      <c r="H24" s="631"/>
      <c r="I24" s="631"/>
      <c r="J24" s="631"/>
      <c r="K24" s="631"/>
      <c r="L24" s="631"/>
      <c r="M24" s="631"/>
      <c r="N24" s="631"/>
      <c r="O24" s="631"/>
      <c r="P24" s="631"/>
      <c r="Q24" s="631"/>
      <c r="R24" s="631"/>
      <c r="S24" s="631"/>
      <c r="T24" s="631"/>
      <c r="U24" s="631"/>
      <c r="V24" s="631"/>
      <c r="W24" s="631"/>
      <c r="X24" s="631"/>
      <c r="Y24" s="631"/>
      <c r="Z24" s="631"/>
      <c r="AA24" s="631"/>
      <c r="AB24" s="631"/>
      <c r="AC24" s="631"/>
      <c r="AD24" s="631"/>
      <c r="AE24" s="631"/>
      <c r="AF24" s="631"/>
      <c r="AG24" s="631"/>
      <c r="AH24" s="631"/>
      <c r="AI24" s="631"/>
      <c r="AJ24" s="633"/>
      <c r="AK24" s="629"/>
      <c r="AL24" s="629"/>
      <c r="AM24" s="629"/>
      <c r="AN24" s="683"/>
    </row>
    <row r="25" spans="1:40" ht="15.75">
      <c r="A25" s="654" t="s">
        <v>83</v>
      </c>
      <c r="B25" s="656" t="str">
        <f>VLOOKUP(Tabla6[[#This Row],[SEDE]],'Cronog Junio 2026'!B8:C99,2,0)</f>
        <v>Hans Blake Salas Millan</v>
      </c>
      <c r="C25" s="656" t="str">
        <f>VLOOKUP(Tabla6[[#This Row],[SEDE]],'Cronog Junio 2026'!B8:G99,6,0)</f>
        <v>SALUD</v>
      </c>
      <c r="D25" s="656" t="str">
        <f>VLOOKUP(Tabla6[[#This Row],[SEDE]],'Cronog Junio 2026'!B8:D99,3,0)</f>
        <v>S010140205</v>
      </c>
      <c r="E25" s="657" t="s">
        <v>415</v>
      </c>
      <c r="F25" s="655">
        <v>44</v>
      </c>
      <c r="G25" s="655">
        <f>+H25+J25+L25+N25+P25+R25+T25+V25+X25+Z25+AB25+AD25+AF25</f>
        <v>32</v>
      </c>
      <c r="H25" s="658">
        <v>0</v>
      </c>
      <c r="I25" s="658">
        <v>0</v>
      </c>
      <c r="J25" s="658">
        <v>0</v>
      </c>
      <c r="K25" s="658">
        <v>0</v>
      </c>
      <c r="L25" s="658">
        <v>17</v>
      </c>
      <c r="M25" s="658">
        <v>0</v>
      </c>
      <c r="N25" s="658">
        <v>1</v>
      </c>
      <c r="O25" s="658">
        <v>0</v>
      </c>
      <c r="P25" s="658">
        <v>9</v>
      </c>
      <c r="Q25" s="658">
        <v>0</v>
      </c>
      <c r="R25" s="658">
        <v>0</v>
      </c>
      <c r="S25" s="658">
        <v>0</v>
      </c>
      <c r="T25" s="658">
        <v>1</v>
      </c>
      <c r="U25" s="658">
        <v>0</v>
      </c>
      <c r="V25" s="658">
        <v>0</v>
      </c>
      <c r="W25" s="658">
        <v>0</v>
      </c>
      <c r="X25" s="658">
        <v>4</v>
      </c>
      <c r="Y25" s="658">
        <v>0</v>
      </c>
      <c r="Z25" s="658">
        <v>0</v>
      </c>
      <c r="AA25" s="658">
        <v>0</v>
      </c>
      <c r="AB25" s="658">
        <v>0</v>
      </c>
      <c r="AC25" s="658">
        <v>0</v>
      </c>
      <c r="AD25" s="658">
        <v>0</v>
      </c>
      <c r="AE25" s="658">
        <v>0</v>
      </c>
      <c r="AF25" s="658">
        <v>0</v>
      </c>
      <c r="AG25" s="658">
        <v>0</v>
      </c>
      <c r="AH25" s="655">
        <v>16</v>
      </c>
      <c r="AI25" s="655">
        <v>16</v>
      </c>
      <c r="AJ25" s="659" t="s">
        <v>446</v>
      </c>
      <c r="AK25" s="656" t="s">
        <v>427</v>
      </c>
      <c r="AL25" s="656" t="s">
        <v>418</v>
      </c>
      <c r="AM25" s="677" t="s">
        <v>419</v>
      </c>
      <c r="AN25" s="683" t="s">
        <v>433</v>
      </c>
    </row>
    <row r="26" spans="1:40" ht="15.75">
      <c r="A26" s="634"/>
      <c r="B26" s="629"/>
      <c r="C26" s="629"/>
      <c r="D26" s="629"/>
      <c r="E26" s="657" t="s">
        <v>421</v>
      </c>
      <c r="F26" s="655">
        <v>36</v>
      </c>
      <c r="G26" s="655">
        <f>+H26+J26+L26+N26+P26+R26+T26+V26+X26+Z26+AB26+AD26+AF26</f>
        <v>24</v>
      </c>
      <c r="H26" s="658">
        <v>1</v>
      </c>
      <c r="I26" s="658">
        <v>0</v>
      </c>
      <c r="J26" s="658">
        <v>1</v>
      </c>
      <c r="K26" s="658">
        <v>0</v>
      </c>
      <c r="L26" s="658">
        <v>13</v>
      </c>
      <c r="M26" s="658">
        <v>0</v>
      </c>
      <c r="N26" s="658">
        <v>2</v>
      </c>
      <c r="O26" s="658">
        <v>0</v>
      </c>
      <c r="P26" s="658">
        <v>6</v>
      </c>
      <c r="Q26" s="658">
        <v>0</v>
      </c>
      <c r="R26" s="658">
        <v>0</v>
      </c>
      <c r="S26" s="658">
        <v>0</v>
      </c>
      <c r="T26" s="658">
        <v>0</v>
      </c>
      <c r="U26" s="658">
        <v>0</v>
      </c>
      <c r="V26" s="658">
        <v>0</v>
      </c>
      <c r="W26" s="658">
        <v>0</v>
      </c>
      <c r="X26" s="658">
        <v>1</v>
      </c>
      <c r="Y26" s="658">
        <v>0</v>
      </c>
      <c r="Z26" s="658">
        <v>0</v>
      </c>
      <c r="AA26" s="658">
        <v>0</v>
      </c>
      <c r="AB26" s="658">
        <v>0</v>
      </c>
      <c r="AC26" s="658">
        <v>0</v>
      </c>
      <c r="AD26" s="658">
        <v>0</v>
      </c>
      <c r="AE26" s="658">
        <v>0</v>
      </c>
      <c r="AF26" s="658">
        <v>0</v>
      </c>
      <c r="AG26" s="658">
        <v>0</v>
      </c>
      <c r="AH26" s="655">
        <v>8</v>
      </c>
      <c r="AI26" s="655">
        <v>16</v>
      </c>
      <c r="AJ26" s="659" t="s">
        <v>447</v>
      </c>
      <c r="AK26" s="656" t="s">
        <v>427</v>
      </c>
      <c r="AL26" s="656" t="s">
        <v>418</v>
      </c>
      <c r="AM26" s="677" t="s">
        <v>419</v>
      </c>
      <c r="AN26" s="683"/>
    </row>
    <row r="27" spans="1:40" ht="15.75">
      <c r="A27" s="634"/>
      <c r="B27" s="629"/>
      <c r="C27" s="629"/>
      <c r="D27" s="629"/>
      <c r="E27" s="657" t="s">
        <v>439</v>
      </c>
      <c r="F27" s="655">
        <v>36</v>
      </c>
      <c r="G27" s="655">
        <f>+H27+J27+L27+N27+P27+R27+T27+V27+X27+Z27+AB27+AD27+AF27</f>
        <v>28</v>
      </c>
      <c r="H27" s="658">
        <v>1</v>
      </c>
      <c r="I27" s="658">
        <v>0</v>
      </c>
      <c r="J27" s="658">
        <v>2</v>
      </c>
      <c r="K27" s="658">
        <v>0</v>
      </c>
      <c r="L27" s="658">
        <v>17</v>
      </c>
      <c r="M27" s="658">
        <v>0</v>
      </c>
      <c r="N27" s="658">
        <v>0</v>
      </c>
      <c r="O27" s="658">
        <v>0</v>
      </c>
      <c r="P27" s="658">
        <v>8</v>
      </c>
      <c r="Q27" s="658">
        <v>0</v>
      </c>
      <c r="R27" s="658">
        <v>0</v>
      </c>
      <c r="S27" s="658">
        <v>0</v>
      </c>
      <c r="T27" s="658">
        <v>0</v>
      </c>
      <c r="U27" s="658">
        <v>0</v>
      </c>
      <c r="V27" s="658">
        <v>0</v>
      </c>
      <c r="W27" s="658">
        <v>0</v>
      </c>
      <c r="X27" s="658">
        <v>0</v>
      </c>
      <c r="Y27" s="658">
        <v>0</v>
      </c>
      <c r="Z27" s="658">
        <v>0</v>
      </c>
      <c r="AA27" s="658">
        <v>0</v>
      </c>
      <c r="AB27" s="658">
        <v>0</v>
      </c>
      <c r="AC27" s="658">
        <v>0</v>
      </c>
      <c r="AD27" s="658">
        <v>0</v>
      </c>
      <c r="AE27" s="658">
        <v>0</v>
      </c>
      <c r="AF27" s="658">
        <v>0</v>
      </c>
      <c r="AG27" s="658">
        <v>0</v>
      </c>
      <c r="AH27" s="655">
        <v>11</v>
      </c>
      <c r="AI27" s="655">
        <v>17</v>
      </c>
      <c r="AJ27" s="659" t="s">
        <v>448</v>
      </c>
      <c r="AK27" s="656" t="s">
        <v>427</v>
      </c>
      <c r="AL27" s="656" t="s">
        <v>418</v>
      </c>
      <c r="AM27" s="677" t="s">
        <v>419</v>
      </c>
      <c r="AN27" s="683"/>
    </row>
    <row r="28" spans="1:40" ht="15.75">
      <c r="A28" s="634" t="s">
        <v>85</v>
      </c>
      <c r="B28" s="629" t="str">
        <f>VLOOKUP(Tabla6[[#This Row],[SEDE]],'Cronog Junio 2026'!B9:C100,2,0)</f>
        <v>Hans Blake Salas Millan</v>
      </c>
      <c r="C28" s="629" t="str">
        <f>VLOOKUP(Tabla6[[#This Row],[SEDE]],'Cronog Junio 2026'!B9:G100,6,0)</f>
        <v>MERCADEO</v>
      </c>
      <c r="D28" s="629" t="str">
        <f>VLOOKUP(Tabla6[[#This Row],[SEDE]],'Cronog Junio 2026'!B9:D100,3,0)</f>
        <v>M012070213</v>
      </c>
      <c r="E28" s="630"/>
      <c r="F28" s="631"/>
      <c r="G28" s="631"/>
      <c r="H28" s="631"/>
      <c r="I28" s="631"/>
      <c r="J28" s="631"/>
      <c r="K28" s="631"/>
      <c r="L28" s="631"/>
      <c r="M28" s="631"/>
      <c r="N28" s="631"/>
      <c r="O28" s="631"/>
      <c r="P28" s="631"/>
      <c r="Q28" s="631"/>
      <c r="R28" s="631"/>
      <c r="S28" s="631"/>
      <c r="T28" s="631"/>
      <c r="U28" s="631"/>
      <c r="V28" s="631"/>
      <c r="W28" s="631"/>
      <c r="X28" s="631"/>
      <c r="Y28" s="631"/>
      <c r="Z28" s="631"/>
      <c r="AA28" s="631"/>
      <c r="AB28" s="631"/>
      <c r="AC28" s="631"/>
      <c r="AD28" s="631"/>
      <c r="AE28" s="631"/>
      <c r="AF28" s="631"/>
      <c r="AG28" s="631"/>
      <c r="AH28" s="631"/>
      <c r="AI28" s="631"/>
      <c r="AJ28" s="633"/>
      <c r="AK28" s="629"/>
      <c r="AL28" s="629"/>
      <c r="AM28" s="629"/>
      <c r="AN28" s="683" t="s">
        <v>449</v>
      </c>
    </row>
    <row r="29" spans="1:40" ht="15.75">
      <c r="A29" s="634" t="s">
        <v>90</v>
      </c>
      <c r="B29" s="629" t="str">
        <f>VLOOKUP(Tabla6[[#This Row],[SEDE]],'Cronog Junio 2026'!B10:C101,2,0)</f>
        <v>Hans Blake Salas Millan</v>
      </c>
      <c r="C29" s="629" t="str">
        <f>VLOOKUP(Tabla6[[#This Row],[SEDE]],'Cronog Junio 2026'!B10:G101,6,0)</f>
        <v>MERCADEO</v>
      </c>
      <c r="D29" s="629" t="str">
        <f>VLOOKUP(Tabla6[[#This Row],[SEDE]],'Cronog Junio 2026'!B10:D101,3,0)</f>
        <v>M010360213</v>
      </c>
      <c r="E29" s="630"/>
      <c r="F29" s="631"/>
      <c r="G29" s="672">
        <f t="shared" ref="G27:G35" si="1">+H29+J29+L29+N29+P29+R29+T29+V29+X29+Z29+AB29+AD29+AF29</f>
        <v>0</v>
      </c>
      <c r="H29" s="632"/>
      <c r="I29" s="632"/>
      <c r="J29" s="632"/>
      <c r="K29" s="632"/>
      <c r="L29" s="632"/>
      <c r="M29" s="632"/>
      <c r="N29" s="632"/>
      <c r="O29" s="632"/>
      <c r="P29" s="632"/>
      <c r="Q29" s="632"/>
      <c r="R29" s="632"/>
      <c r="S29" s="632"/>
      <c r="T29" s="632"/>
      <c r="U29" s="632"/>
      <c r="V29" s="632"/>
      <c r="W29" s="632"/>
      <c r="X29" s="632"/>
      <c r="Y29" s="632"/>
      <c r="Z29" s="632"/>
      <c r="AA29" s="632"/>
      <c r="AB29" s="632"/>
      <c r="AC29" s="632"/>
      <c r="AD29" s="632"/>
      <c r="AE29" s="632"/>
      <c r="AF29" s="632"/>
      <c r="AG29" s="632"/>
      <c r="AH29" s="631"/>
      <c r="AI29" s="631"/>
      <c r="AJ29" s="633"/>
      <c r="AK29" s="629"/>
      <c r="AL29" s="629"/>
      <c r="AM29" s="629"/>
      <c r="AN29" s="683" t="s">
        <v>449</v>
      </c>
    </row>
    <row r="30" spans="1:40" ht="15.75">
      <c r="A30" s="634" t="s">
        <v>92</v>
      </c>
      <c r="B30" s="629" t="str">
        <f>VLOOKUP(Tabla6[[#This Row],[SEDE]],'Cronog Junio 2026'!B11:C102,2,0)</f>
        <v>Bryan A. Urbano</v>
      </c>
      <c r="C30" s="629" t="str">
        <f>VLOOKUP(Tabla6[[#This Row],[SEDE]],'Cronog Junio 2026'!B11:G102,6,0)</f>
        <v>MERCADEO</v>
      </c>
      <c r="D30" s="629" t="str">
        <f>VLOOKUP(Tabla6[[#This Row],[SEDE]],'Cronog Junio 2026'!B11:D102,3,0)</f>
        <v>M011410213</v>
      </c>
      <c r="E30" s="630"/>
      <c r="F30" s="631"/>
      <c r="G30" s="672">
        <f t="shared" si="1"/>
        <v>0</v>
      </c>
      <c r="H30" s="632"/>
      <c r="I30" s="632"/>
      <c r="J30" s="632"/>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1"/>
      <c r="AI30" s="631"/>
      <c r="AJ30" s="633"/>
      <c r="AK30" s="629"/>
      <c r="AL30" s="629"/>
      <c r="AM30" s="629"/>
      <c r="AN30" s="683" t="s">
        <v>449</v>
      </c>
    </row>
    <row r="31" spans="1:40" ht="15.75">
      <c r="A31" s="634" t="s">
        <v>94</v>
      </c>
      <c r="B31" s="629" t="str">
        <f>VLOOKUP(Tabla6[[#This Row],[SEDE]],'Cronog Junio 2026'!B12:C103,2,0)</f>
        <v>Hans Blake Salas Millan</v>
      </c>
      <c r="C31" s="629" t="str">
        <f>VLOOKUP(Tabla6[[#This Row],[SEDE]],'Cronog Junio 2026'!B12:G103,6,0)</f>
        <v>MERCADEO</v>
      </c>
      <c r="D31" s="629" t="str">
        <f>VLOOKUP(Tabla6[[#This Row],[SEDE]],'Cronog Junio 2026'!B12:D103,3,0)</f>
        <v>M011680213</v>
      </c>
      <c r="E31" s="630"/>
      <c r="F31" s="631"/>
      <c r="G31" s="672">
        <f t="shared" si="1"/>
        <v>0</v>
      </c>
      <c r="H31" s="632"/>
      <c r="I31" s="632"/>
      <c r="J31" s="632"/>
      <c r="K31" s="632"/>
      <c r="L31" s="632"/>
      <c r="M31" s="632"/>
      <c r="N31" s="632"/>
      <c r="O31" s="632"/>
      <c r="P31" s="632"/>
      <c r="Q31" s="632"/>
      <c r="R31" s="632"/>
      <c r="S31" s="632"/>
      <c r="T31" s="632"/>
      <c r="U31" s="632"/>
      <c r="V31" s="632"/>
      <c r="W31" s="632"/>
      <c r="X31" s="632"/>
      <c r="Y31" s="632"/>
      <c r="Z31" s="632"/>
      <c r="AA31" s="632"/>
      <c r="AB31" s="632"/>
      <c r="AC31" s="632"/>
      <c r="AD31" s="632"/>
      <c r="AE31" s="632"/>
      <c r="AF31" s="632"/>
      <c r="AG31" s="632"/>
      <c r="AH31" s="631"/>
      <c r="AI31" s="631"/>
      <c r="AJ31" s="633"/>
      <c r="AK31" s="629"/>
      <c r="AL31" s="629"/>
      <c r="AM31" s="629"/>
      <c r="AN31" s="683" t="s">
        <v>449</v>
      </c>
    </row>
    <row r="32" spans="1:40" ht="15.75">
      <c r="A32" s="634" t="s">
        <v>96</v>
      </c>
      <c r="B32" s="629" t="str">
        <f>VLOOKUP(Tabla6[[#This Row],[SEDE]],'Cronog Junio 2026'!B13:C104,2,0)</f>
        <v>Bryan A. Urbano</v>
      </c>
      <c r="C32" s="629" t="str">
        <f>VLOOKUP(Tabla6[[#This Row],[SEDE]],'Cronog Junio 2026'!B13:G104,6,0)</f>
        <v>MERCADEO</v>
      </c>
      <c r="D32" s="629" t="str">
        <f>VLOOKUP(Tabla6[[#This Row],[SEDE]],'Cronog Junio 2026'!B13:D104,3,0)</f>
        <v>M011930213</v>
      </c>
      <c r="E32" s="630"/>
      <c r="F32" s="631"/>
      <c r="G32" s="672">
        <f t="shared" si="1"/>
        <v>0</v>
      </c>
      <c r="H32" s="632"/>
      <c r="I32" s="632"/>
      <c r="J32" s="632"/>
      <c r="K32" s="632"/>
      <c r="L32" s="632"/>
      <c r="M32" s="632"/>
      <c r="N32" s="632"/>
      <c r="O32" s="632"/>
      <c r="P32" s="632"/>
      <c r="Q32" s="632"/>
      <c r="R32" s="632"/>
      <c r="S32" s="632"/>
      <c r="T32" s="632"/>
      <c r="U32" s="632"/>
      <c r="V32" s="632"/>
      <c r="W32" s="632"/>
      <c r="X32" s="632"/>
      <c r="Y32" s="632"/>
      <c r="Z32" s="632"/>
      <c r="AA32" s="632"/>
      <c r="AB32" s="632"/>
      <c r="AC32" s="632"/>
      <c r="AD32" s="632"/>
      <c r="AE32" s="632"/>
      <c r="AF32" s="632"/>
      <c r="AG32" s="632"/>
      <c r="AH32" s="631"/>
      <c r="AI32" s="631"/>
      <c r="AJ32" s="633"/>
      <c r="AK32" s="629"/>
      <c r="AL32" s="629"/>
      <c r="AM32" s="629"/>
      <c r="AN32" s="683" t="s">
        <v>449</v>
      </c>
    </row>
    <row r="33" spans="1:40" ht="15.75">
      <c r="A33" s="544" t="s">
        <v>98</v>
      </c>
      <c r="B33" s="629" t="str">
        <f>VLOOKUP(Tabla6[[#This Row],[SEDE]],'Cronog Junio 2026'!B14:C105,2,0)</f>
        <v>Bryan A. Urbano</v>
      </c>
      <c r="C33" s="629" t="str">
        <f>VLOOKUP(Tabla6[[#This Row],[SEDE]],'Cronog Junio 2026'!B14:G105,6,0)</f>
        <v>MERCADEO</v>
      </c>
      <c r="D33" s="629" t="str">
        <f>VLOOKUP(Tabla6[[#This Row],[SEDE]],'Cronog Junio 2026'!B14:D105,3,0)</f>
        <v>M010410213</v>
      </c>
      <c r="E33" s="630"/>
      <c r="F33" s="631"/>
      <c r="G33" s="672">
        <f t="shared" si="1"/>
        <v>0</v>
      </c>
      <c r="H33" s="632"/>
      <c r="I33" s="632"/>
      <c r="J33" s="632"/>
      <c r="K33" s="632"/>
      <c r="L33" s="632"/>
      <c r="M33" s="632"/>
      <c r="N33" s="632"/>
      <c r="O33" s="632"/>
      <c r="P33" s="632"/>
      <c r="Q33" s="632"/>
      <c r="R33" s="632"/>
      <c r="S33" s="632"/>
      <c r="T33" s="632"/>
      <c r="U33" s="632"/>
      <c r="V33" s="632"/>
      <c r="W33" s="632"/>
      <c r="X33" s="632"/>
      <c r="Y33" s="632"/>
      <c r="Z33" s="632"/>
      <c r="AA33" s="632"/>
      <c r="AB33" s="632"/>
      <c r="AC33" s="632"/>
      <c r="AD33" s="632"/>
      <c r="AE33" s="632"/>
      <c r="AF33" s="632"/>
      <c r="AG33" s="632"/>
      <c r="AH33" s="631"/>
      <c r="AI33" s="631"/>
      <c r="AJ33" s="633"/>
      <c r="AK33" s="629"/>
      <c r="AL33" s="629"/>
      <c r="AM33" s="629"/>
      <c r="AN33" s="683" t="s">
        <v>449</v>
      </c>
    </row>
    <row r="34" spans="1:40" ht="15.75">
      <c r="A34" s="544" t="s">
        <v>100</v>
      </c>
      <c r="B34" s="629" t="str">
        <f>VLOOKUP(Tabla6[[#This Row],[SEDE]],'Cronog Junio 2026'!B15:C106,2,0)</f>
        <v>Bryan A. Urbano</v>
      </c>
      <c r="C34" s="629" t="str">
        <f>VLOOKUP(Tabla6[[#This Row],[SEDE]],'Cronog Junio 2026'!B15:G106,6,0)</f>
        <v>MERCADEO</v>
      </c>
      <c r="D34" s="629" t="str">
        <f>VLOOKUP(Tabla6[[#This Row],[SEDE]],'Cronog Junio 2026'!B15:D106,3,0)</f>
        <v>M010321701</v>
      </c>
      <c r="E34" s="630"/>
      <c r="F34" s="631"/>
      <c r="G34" s="672">
        <f t="shared" si="1"/>
        <v>0</v>
      </c>
      <c r="H34" s="632"/>
      <c r="I34" s="632"/>
      <c r="J34" s="632"/>
      <c r="K34" s="632"/>
      <c r="L34" s="632"/>
      <c r="M34" s="632"/>
      <c r="N34" s="632"/>
      <c r="O34" s="632"/>
      <c r="P34" s="632"/>
      <c r="Q34" s="632"/>
      <c r="R34" s="632"/>
      <c r="S34" s="632"/>
      <c r="T34" s="632"/>
      <c r="U34" s="632"/>
      <c r="V34" s="632"/>
      <c r="W34" s="632"/>
      <c r="X34" s="632"/>
      <c r="Y34" s="632"/>
      <c r="Z34" s="632"/>
      <c r="AA34" s="632"/>
      <c r="AB34" s="632"/>
      <c r="AC34" s="632"/>
      <c r="AD34" s="632"/>
      <c r="AE34" s="632"/>
      <c r="AF34" s="632"/>
      <c r="AG34" s="632"/>
      <c r="AH34" s="631"/>
      <c r="AI34" s="631"/>
      <c r="AJ34" s="633"/>
      <c r="AK34" s="629"/>
      <c r="AL34" s="629"/>
      <c r="AM34" s="629"/>
      <c r="AN34" s="683" t="s">
        <v>449</v>
      </c>
    </row>
    <row r="35" spans="1:40" ht="15.75">
      <c r="A35" s="544" t="s">
        <v>102</v>
      </c>
      <c r="B35" s="629" t="str">
        <f>VLOOKUP(Tabla6[[#This Row],[SEDE]],'Cronog Junio 2026'!B16:C107,2,0)</f>
        <v>Hans Blake Salas Millan</v>
      </c>
      <c r="C35" s="629" t="str">
        <f>VLOOKUP(Tabla6[[#This Row],[SEDE]],'Cronog Junio 2026'!B16:G107,6,0)</f>
        <v>MERCADEO</v>
      </c>
      <c r="D35" s="629" t="str">
        <f>VLOOKUP(Tabla6[[#This Row],[SEDE]],'Cronog Junio 2026'!B16:D107,3,0)</f>
        <v>M011080213</v>
      </c>
      <c r="E35" s="630"/>
      <c r="F35" s="631"/>
      <c r="G35" s="672">
        <f t="shared" si="1"/>
        <v>0</v>
      </c>
      <c r="H35" s="632"/>
      <c r="I35" s="632"/>
      <c r="J35" s="632"/>
      <c r="K35" s="632"/>
      <c r="L35" s="632"/>
      <c r="M35" s="632"/>
      <c r="N35" s="632"/>
      <c r="O35" s="632"/>
      <c r="P35" s="632"/>
      <c r="Q35" s="632"/>
      <c r="R35" s="632"/>
      <c r="S35" s="632"/>
      <c r="T35" s="632"/>
      <c r="U35" s="632"/>
      <c r="V35" s="632"/>
      <c r="W35" s="632"/>
      <c r="X35" s="632"/>
      <c r="Y35" s="632"/>
      <c r="Z35" s="632"/>
      <c r="AA35" s="632"/>
      <c r="AB35" s="632"/>
      <c r="AC35" s="632"/>
      <c r="AD35" s="632"/>
      <c r="AE35" s="632"/>
      <c r="AF35" s="632"/>
      <c r="AG35" s="632"/>
      <c r="AH35" s="631"/>
      <c r="AI35" s="631"/>
      <c r="AJ35" s="633"/>
      <c r="AK35" s="629"/>
      <c r="AL35" s="629"/>
      <c r="AM35" s="629"/>
      <c r="AN35" s="683" t="s">
        <v>449</v>
      </c>
    </row>
    <row r="36" spans="1:40" s="667" customFormat="1" ht="16.5">
      <c r="A36" s="666" t="s">
        <v>104</v>
      </c>
      <c r="B36" s="656" t="str">
        <f>VLOOKUP(Tabla6[[#This Row],[SEDE]],'Cronog Junio 2026'!B17:C108,2,0)</f>
        <v>Hans Blake Salas Millan</v>
      </c>
      <c r="C36" s="656" t="str">
        <f>VLOOKUP(Tabla6[[#This Row],[SEDE]],'Cronog Junio 2026'!B17:G108,6,0)</f>
        <v>SALUD</v>
      </c>
      <c r="D36" s="656" t="str">
        <f>VLOOKUP(Tabla6[[#This Row],[SEDE]],'Cronog Junio 2026'!B17:D108,3,0)</f>
        <v>S010030205</v>
      </c>
      <c r="E36" s="657" t="s">
        <v>107</v>
      </c>
      <c r="F36" s="655">
        <v>136</v>
      </c>
      <c r="G36" s="655">
        <f>+H36+J36+L36+N36+P36+R36+T36+V36+X36+Z36+AB36+AD36+AF36</f>
        <v>38</v>
      </c>
      <c r="H36" s="658">
        <v>5</v>
      </c>
      <c r="I36" s="658">
        <v>0</v>
      </c>
      <c r="J36" s="658">
        <v>6</v>
      </c>
      <c r="K36" s="658">
        <v>0</v>
      </c>
      <c r="L36" s="658">
        <v>9</v>
      </c>
      <c r="M36" s="658">
        <v>0</v>
      </c>
      <c r="N36" s="658">
        <v>1</v>
      </c>
      <c r="O36" s="658">
        <v>0</v>
      </c>
      <c r="P36" s="658">
        <v>0</v>
      </c>
      <c r="Q36" s="658">
        <v>0</v>
      </c>
      <c r="R36" s="658">
        <v>4</v>
      </c>
      <c r="S36" s="658">
        <v>0</v>
      </c>
      <c r="T36" s="658">
        <v>1</v>
      </c>
      <c r="U36" s="658">
        <v>0</v>
      </c>
      <c r="V36" s="658">
        <v>1</v>
      </c>
      <c r="W36" s="658">
        <v>0</v>
      </c>
      <c r="X36" s="658">
        <v>11</v>
      </c>
      <c r="Y36" s="658">
        <v>0</v>
      </c>
      <c r="Z36" s="658">
        <v>0</v>
      </c>
      <c r="AA36" s="658">
        <v>0</v>
      </c>
      <c r="AB36" s="658">
        <v>0</v>
      </c>
      <c r="AC36" s="658">
        <v>0</v>
      </c>
      <c r="AD36" s="658">
        <v>0</v>
      </c>
      <c r="AE36" s="658">
        <v>0</v>
      </c>
      <c r="AF36" s="658">
        <v>0</v>
      </c>
      <c r="AG36" s="658">
        <v>0</v>
      </c>
      <c r="AH36" s="655">
        <v>23</v>
      </c>
      <c r="AI36" s="655">
        <v>15</v>
      </c>
      <c r="AJ36" s="659" t="s">
        <v>450</v>
      </c>
      <c r="AK36" s="656" t="s">
        <v>417</v>
      </c>
      <c r="AL36" s="656" t="s">
        <v>418</v>
      </c>
      <c r="AM36" s="677" t="s">
        <v>419</v>
      </c>
      <c r="AN36" s="683" t="s">
        <v>433</v>
      </c>
    </row>
    <row r="37" spans="1:40" ht="15.75">
      <c r="A37" s="544" t="s">
        <v>108</v>
      </c>
      <c r="B37" s="629" t="str">
        <f>VLOOKUP(Tabla6[[#This Row],[SEDE]],'Cronog Junio 2026'!B18:C109,2,0)</f>
        <v>Bryan A. Urbano</v>
      </c>
      <c r="C37" s="629" t="str">
        <f>VLOOKUP(Tabla6[[#This Row],[SEDE]],'Cronog Junio 2026'!B18:G109,6,0)</f>
        <v>EDUCACION</v>
      </c>
      <c r="D37" s="629" t="str">
        <f>VLOOKUP(Tabla6[[#This Row],[SEDE]],'Cronog Junio 2026'!B18:D109,3,0)</f>
        <v>E010600205</v>
      </c>
      <c r="E37" s="630" t="s">
        <v>110</v>
      </c>
      <c r="F37" s="631">
        <v>96</v>
      </c>
      <c r="G37" s="631">
        <v>30</v>
      </c>
      <c r="H37" s="632">
        <v>3</v>
      </c>
      <c r="I37" s="632">
        <v>0</v>
      </c>
      <c r="J37" s="632">
        <v>8</v>
      </c>
      <c r="K37" s="632">
        <v>0</v>
      </c>
      <c r="L37" s="632">
        <v>6</v>
      </c>
      <c r="M37" s="632">
        <v>0</v>
      </c>
      <c r="N37" s="632">
        <v>2</v>
      </c>
      <c r="O37" s="632">
        <v>0</v>
      </c>
      <c r="P37" s="632">
        <v>1</v>
      </c>
      <c r="Q37" s="632">
        <v>0</v>
      </c>
      <c r="R37" s="632">
        <v>5</v>
      </c>
      <c r="S37" s="632">
        <v>0</v>
      </c>
      <c r="T37" s="632">
        <v>0</v>
      </c>
      <c r="U37" s="632">
        <v>0</v>
      </c>
      <c r="V37" s="632">
        <v>1</v>
      </c>
      <c r="W37" s="632">
        <v>0</v>
      </c>
      <c r="X37" s="632">
        <v>2</v>
      </c>
      <c r="Y37" s="632">
        <v>0</v>
      </c>
      <c r="Z37" s="632">
        <v>0</v>
      </c>
      <c r="AA37" s="632">
        <v>0</v>
      </c>
      <c r="AB37" s="632">
        <v>1</v>
      </c>
      <c r="AC37" s="632">
        <v>0</v>
      </c>
      <c r="AD37" s="632">
        <v>1</v>
      </c>
      <c r="AE37" s="632">
        <v>0</v>
      </c>
      <c r="AF37" s="632">
        <v>0</v>
      </c>
      <c r="AG37" s="632">
        <v>0</v>
      </c>
      <c r="AH37" s="631">
        <v>19</v>
      </c>
      <c r="AI37" s="631">
        <v>11</v>
      </c>
      <c r="AJ37" s="633" t="s">
        <v>451</v>
      </c>
      <c r="AK37" s="669" t="s">
        <v>417</v>
      </c>
      <c r="AL37" s="669" t="s">
        <v>418</v>
      </c>
      <c r="AM37" s="689" t="s">
        <v>445</v>
      </c>
      <c r="AN37" s="683" t="s">
        <v>428</v>
      </c>
    </row>
    <row r="38" spans="1:40" ht="15.75">
      <c r="A38" s="544" t="s">
        <v>111</v>
      </c>
      <c r="B38" s="629" t="str">
        <f>VLOOKUP(Tabla6[[#This Row],[SEDE]],'Cronog Junio 2026'!B19:C110,2,0)</f>
        <v>Bryan A. Urbano</v>
      </c>
      <c r="C38" s="629" t="str">
        <f>VLOOKUP(Tabla6[[#This Row],[SEDE]],'Cronog Junio 2026'!B19:G110,6,0)</f>
        <v>EDUCACION</v>
      </c>
      <c r="D38" s="629" t="str">
        <f>VLOOKUP(Tabla6[[#This Row],[SEDE]],'Cronog Junio 2026'!B19:D110,3,0)</f>
        <v>E010190205</v>
      </c>
      <c r="E38" s="630"/>
      <c r="F38" s="631"/>
      <c r="G38" s="631">
        <f>+H38+J38+L38+N38+P38+R38+T38+V38+X38+Z38+AB38+AD38+AF38</f>
        <v>0</v>
      </c>
      <c r="H38" s="632"/>
      <c r="I38" s="632"/>
      <c r="J38" s="632"/>
      <c r="K38" s="632"/>
      <c r="L38" s="632"/>
      <c r="M38" s="632"/>
      <c r="N38" s="632"/>
      <c r="O38" s="632"/>
      <c r="P38" s="632"/>
      <c r="Q38" s="632"/>
      <c r="R38" s="632"/>
      <c r="S38" s="632"/>
      <c r="T38" s="632"/>
      <c r="U38" s="632"/>
      <c r="V38" s="632"/>
      <c r="W38" s="632"/>
      <c r="X38" s="632"/>
      <c r="Y38" s="632"/>
      <c r="Z38" s="632"/>
      <c r="AA38" s="632"/>
      <c r="AB38" s="632"/>
      <c r="AC38" s="632"/>
      <c r="AD38" s="632"/>
      <c r="AE38" s="632"/>
      <c r="AF38" s="632"/>
      <c r="AG38" s="632"/>
      <c r="AH38" s="631"/>
      <c r="AI38" s="631"/>
      <c r="AJ38" s="633"/>
      <c r="AK38" s="629"/>
      <c r="AL38" s="629"/>
      <c r="AM38" s="629"/>
      <c r="AN38" s="683" t="s">
        <v>428</v>
      </c>
    </row>
    <row r="39" spans="1:40" ht="15.75">
      <c r="A39" s="675" t="s">
        <v>113</v>
      </c>
      <c r="B39" s="656" t="str">
        <f>VLOOKUP(Tabla6[[#This Row],[SEDE]],'Cronog Junio 2026'!B20:C111,2,0)</f>
        <v>Bryan A. Urbano</v>
      </c>
      <c r="C39" s="656" t="str">
        <f>VLOOKUP(Tabla6[[#This Row],[SEDE]],'Cronog Junio 2026'!B20:G111,6,0)</f>
        <v>SALUD</v>
      </c>
      <c r="D39" s="656" t="str">
        <f>VLOOKUP(Tabla6[[#This Row],[SEDE]],'Cronog Junio 2026'!B20:D111,3,0)</f>
        <v>S010080205</v>
      </c>
      <c r="E39" s="657" t="s">
        <v>107</v>
      </c>
      <c r="F39" s="655">
        <v>136</v>
      </c>
      <c r="G39" s="655">
        <v>48</v>
      </c>
      <c r="H39" s="658">
        <v>11</v>
      </c>
      <c r="I39" s="658">
        <v>0</v>
      </c>
      <c r="J39" s="658">
        <v>8</v>
      </c>
      <c r="K39" s="658">
        <v>0</v>
      </c>
      <c r="L39" s="658">
        <v>6</v>
      </c>
      <c r="M39" s="658">
        <v>0</v>
      </c>
      <c r="N39" s="658">
        <v>3</v>
      </c>
      <c r="O39" s="658">
        <v>0</v>
      </c>
      <c r="P39" s="658">
        <v>1</v>
      </c>
      <c r="Q39" s="658">
        <v>0</v>
      </c>
      <c r="R39" s="658">
        <v>5</v>
      </c>
      <c r="S39" s="658">
        <v>0</v>
      </c>
      <c r="T39" s="658">
        <v>1</v>
      </c>
      <c r="U39" s="658">
        <v>0</v>
      </c>
      <c r="V39" s="658">
        <v>2</v>
      </c>
      <c r="W39" s="658">
        <v>0</v>
      </c>
      <c r="X39" s="658">
        <v>6</v>
      </c>
      <c r="Y39" s="658">
        <v>0</v>
      </c>
      <c r="Z39" s="658">
        <v>0</v>
      </c>
      <c r="AA39" s="658">
        <v>0</v>
      </c>
      <c r="AB39" s="658">
        <v>2</v>
      </c>
      <c r="AC39" s="658">
        <v>0</v>
      </c>
      <c r="AD39" s="658">
        <v>3</v>
      </c>
      <c r="AE39" s="658">
        <v>0</v>
      </c>
      <c r="AF39" s="658">
        <v>0</v>
      </c>
      <c r="AG39" s="658">
        <v>0</v>
      </c>
      <c r="AH39" s="655">
        <v>13</v>
      </c>
      <c r="AI39" s="655">
        <v>35</v>
      </c>
      <c r="AJ39" s="659" t="s">
        <v>452</v>
      </c>
      <c r="AK39" s="656" t="s">
        <v>417</v>
      </c>
      <c r="AL39" s="656" t="s">
        <v>418</v>
      </c>
      <c r="AM39" s="677" t="s">
        <v>419</v>
      </c>
      <c r="AN39" s="683" t="s">
        <v>433</v>
      </c>
    </row>
    <row r="40" spans="1:40" ht="15.75">
      <c r="A40" s="544" t="s">
        <v>115</v>
      </c>
      <c r="B40" s="629" t="str">
        <f>VLOOKUP(Tabla6[[#This Row],[SEDE]],'Cronog Junio 2026'!B21:C112,2,0)</f>
        <v>Bryan A. Urbano</v>
      </c>
      <c r="C40" s="629" t="str">
        <f>VLOOKUP(Tabla6[[#This Row],[SEDE]],'Cronog Junio 2026'!B21:G112,6,0)</f>
        <v>EDUCACION</v>
      </c>
      <c r="D40" s="629" t="str">
        <f>VLOOKUP(Tabla6[[#This Row],[SEDE]],'Cronog Junio 2026'!B21:D112,3,0)</f>
        <v>E010620205</v>
      </c>
      <c r="E40" s="630" t="s">
        <v>453</v>
      </c>
      <c r="F40" s="631"/>
      <c r="G40" s="631">
        <f t="shared" si="0"/>
        <v>0</v>
      </c>
      <c r="H40" s="632"/>
      <c r="I40" s="632"/>
      <c r="J40" s="632"/>
      <c r="K40" s="632"/>
      <c r="L40" s="632"/>
      <c r="M40" s="632"/>
      <c r="N40" s="632"/>
      <c r="O40" s="632"/>
      <c r="P40" s="632"/>
      <c r="Q40" s="632"/>
      <c r="R40" s="632"/>
      <c r="S40" s="632"/>
      <c r="T40" s="632"/>
      <c r="U40" s="632"/>
      <c r="V40" s="632"/>
      <c r="W40" s="632"/>
      <c r="X40" s="632"/>
      <c r="Y40" s="632"/>
      <c r="Z40" s="632"/>
      <c r="AA40" s="632"/>
      <c r="AB40" s="632"/>
      <c r="AC40" s="632"/>
      <c r="AD40" s="632"/>
      <c r="AE40" s="632"/>
      <c r="AF40" s="632"/>
      <c r="AG40" s="632"/>
      <c r="AH40" s="631"/>
      <c r="AI40" s="631"/>
      <c r="AJ40" s="633"/>
      <c r="AK40" s="629"/>
      <c r="AL40" s="629"/>
      <c r="AM40" s="629"/>
      <c r="AN40" s="683" t="s">
        <v>428</v>
      </c>
    </row>
    <row r="41" spans="1:40" ht="15.75">
      <c r="A41" s="675" t="s">
        <v>118</v>
      </c>
      <c r="B41" s="656" t="str">
        <f>VLOOKUP(Tabla6[[#This Row],[SEDE]],'Cronog Junio 2026'!B22:C113,2,0)</f>
        <v>Bryan A. Urbano</v>
      </c>
      <c r="C41" s="656" t="str">
        <f>VLOOKUP(Tabla6[[#This Row],[SEDE]],'Cronog Junio 2026'!B22:G113,6,0)</f>
        <v>EDUCACION</v>
      </c>
      <c r="D41" s="656" t="str">
        <f>VLOOKUP(Tabla6[[#This Row],[SEDE]],'Cronog Junio 2026'!B22:D113,3,0)</f>
        <v>E010050205</v>
      </c>
      <c r="E41" s="657" t="s">
        <v>107</v>
      </c>
      <c r="F41" s="655">
        <v>136</v>
      </c>
      <c r="G41" s="655">
        <v>39</v>
      </c>
      <c r="H41" s="658">
        <v>8</v>
      </c>
      <c r="I41" s="658">
        <v>0</v>
      </c>
      <c r="J41" s="658">
        <v>8</v>
      </c>
      <c r="K41" s="658">
        <v>0</v>
      </c>
      <c r="L41" s="658">
        <v>5</v>
      </c>
      <c r="M41" s="658">
        <v>0</v>
      </c>
      <c r="N41" s="658">
        <v>6</v>
      </c>
      <c r="O41" s="658">
        <v>0</v>
      </c>
      <c r="P41" s="658">
        <v>2</v>
      </c>
      <c r="Q41" s="658">
        <v>0</v>
      </c>
      <c r="R41" s="658">
        <v>4</v>
      </c>
      <c r="S41" s="658">
        <v>0</v>
      </c>
      <c r="T41" s="658">
        <v>1</v>
      </c>
      <c r="U41" s="658">
        <v>0</v>
      </c>
      <c r="V41" s="658">
        <v>1</v>
      </c>
      <c r="W41" s="658">
        <v>0</v>
      </c>
      <c r="X41" s="658">
        <v>3</v>
      </c>
      <c r="Y41" s="658">
        <v>0</v>
      </c>
      <c r="Z41" s="658">
        <v>0</v>
      </c>
      <c r="AA41" s="658">
        <v>0</v>
      </c>
      <c r="AB41" s="658">
        <v>1</v>
      </c>
      <c r="AC41" s="658">
        <v>0</v>
      </c>
      <c r="AD41" s="658">
        <v>0</v>
      </c>
      <c r="AE41" s="658">
        <v>0</v>
      </c>
      <c r="AF41" s="658">
        <v>0</v>
      </c>
      <c r="AG41" s="658">
        <v>0</v>
      </c>
      <c r="AH41" s="655">
        <v>16</v>
      </c>
      <c r="AI41" s="655">
        <v>23</v>
      </c>
      <c r="AJ41" s="659" t="s">
        <v>454</v>
      </c>
      <c r="AK41" s="656" t="s">
        <v>417</v>
      </c>
      <c r="AL41" s="656" t="s">
        <v>418</v>
      </c>
      <c r="AM41" s="677" t="s">
        <v>419</v>
      </c>
      <c r="AN41" s="683" t="s">
        <v>428</v>
      </c>
    </row>
    <row r="42" spans="1:40" ht="15.75">
      <c r="A42" s="675" t="s">
        <v>120</v>
      </c>
      <c r="B42" s="656" t="str">
        <f>VLOOKUP(Tabla6[[#This Row],[SEDE]],'Cronog Junio 2026'!B23:C114,2,0)</f>
        <v>Bryan A. Urbano</v>
      </c>
      <c r="C42" s="656" t="str">
        <f>VLOOKUP(Tabla6[[#This Row],[SEDE]],'Cronog Junio 2026'!B23:G114,6,0)</f>
        <v>EDUCACION</v>
      </c>
      <c r="D42" s="656" t="str">
        <f>VLOOKUP(Tabla6[[#This Row],[SEDE]],'Cronog Junio 2026'!B23:D114,3,0)</f>
        <v>E010050205</v>
      </c>
      <c r="E42" s="657" t="s">
        <v>121</v>
      </c>
      <c r="F42" s="655">
        <v>24</v>
      </c>
      <c r="G42" s="655">
        <v>5</v>
      </c>
      <c r="H42" s="658">
        <v>0</v>
      </c>
      <c r="I42" s="658">
        <v>0</v>
      </c>
      <c r="J42" s="658">
        <v>0</v>
      </c>
      <c r="K42" s="658">
        <v>0</v>
      </c>
      <c r="L42" s="658">
        <v>0</v>
      </c>
      <c r="M42" s="658">
        <v>0</v>
      </c>
      <c r="N42" s="658">
        <v>0</v>
      </c>
      <c r="O42" s="658">
        <v>0</v>
      </c>
      <c r="P42" s="658">
        <v>1</v>
      </c>
      <c r="Q42" s="658">
        <v>0</v>
      </c>
      <c r="R42" s="658">
        <v>0</v>
      </c>
      <c r="S42" s="658">
        <v>0</v>
      </c>
      <c r="T42" s="658">
        <v>1</v>
      </c>
      <c r="U42" s="658">
        <v>0</v>
      </c>
      <c r="V42" s="658">
        <v>0</v>
      </c>
      <c r="W42" s="658">
        <v>0</v>
      </c>
      <c r="X42" s="658">
        <v>3</v>
      </c>
      <c r="Y42" s="658">
        <v>0</v>
      </c>
      <c r="Z42" s="658">
        <v>0</v>
      </c>
      <c r="AA42" s="658">
        <v>0</v>
      </c>
      <c r="AB42" s="658">
        <v>0</v>
      </c>
      <c r="AC42" s="658">
        <v>0</v>
      </c>
      <c r="AD42" s="658">
        <v>0</v>
      </c>
      <c r="AE42" s="658">
        <v>0</v>
      </c>
      <c r="AF42" s="658">
        <v>0</v>
      </c>
      <c r="AG42" s="658">
        <v>0</v>
      </c>
      <c r="AH42" s="655">
        <v>4</v>
      </c>
      <c r="AI42" s="655">
        <v>1</v>
      </c>
      <c r="AJ42" s="659" t="s">
        <v>455</v>
      </c>
      <c r="AK42" s="669" t="s">
        <v>417</v>
      </c>
      <c r="AL42" s="669" t="s">
        <v>418</v>
      </c>
      <c r="AM42" s="689" t="s">
        <v>445</v>
      </c>
      <c r="AN42" s="683" t="s">
        <v>428</v>
      </c>
    </row>
    <row r="43" spans="1:40" ht="15.75">
      <c r="A43" s="544" t="s">
        <v>122</v>
      </c>
      <c r="B43" s="629" t="str">
        <f>VLOOKUP(Tabla6[[#This Row],[SEDE]],'Cronog Junio 2026'!B24:C115,2,0)</f>
        <v>Bryan A. Urbano</v>
      </c>
      <c r="C43" s="629" t="str">
        <f>VLOOKUP(Tabla6[[#This Row],[SEDE]],'Cronog Junio 2026'!B24:G115,6,0)</f>
        <v>EDUCACION</v>
      </c>
      <c r="D43" s="629" t="str">
        <f>VLOOKUP(Tabla6[[#This Row],[SEDE]],'Cronog Junio 2026'!B24:D115,3,0)</f>
        <v>E010020205</v>
      </c>
      <c r="E43" s="630" t="s">
        <v>456</v>
      </c>
      <c r="F43" s="631">
        <v>88</v>
      </c>
      <c r="G43" s="631">
        <f t="shared" si="0"/>
        <v>29</v>
      </c>
      <c r="H43" s="632">
        <v>3</v>
      </c>
      <c r="I43" s="632">
        <v>0</v>
      </c>
      <c r="J43" s="632">
        <v>4</v>
      </c>
      <c r="K43" s="632">
        <v>0</v>
      </c>
      <c r="L43" s="632">
        <v>5</v>
      </c>
      <c r="M43" s="632">
        <v>0</v>
      </c>
      <c r="N43" s="632">
        <v>0</v>
      </c>
      <c r="O43" s="632">
        <v>0</v>
      </c>
      <c r="P43" s="632">
        <v>3</v>
      </c>
      <c r="Q43" s="632">
        <v>0</v>
      </c>
      <c r="R43" s="632">
        <v>10</v>
      </c>
      <c r="S43" s="632">
        <v>0</v>
      </c>
      <c r="T43" s="632">
        <v>0</v>
      </c>
      <c r="U43" s="632">
        <v>0</v>
      </c>
      <c r="V43" s="632">
        <v>1</v>
      </c>
      <c r="W43" s="632">
        <v>0</v>
      </c>
      <c r="X43" s="632">
        <v>2</v>
      </c>
      <c r="Y43" s="632">
        <v>0</v>
      </c>
      <c r="Z43" s="632">
        <v>0</v>
      </c>
      <c r="AA43" s="632">
        <v>0</v>
      </c>
      <c r="AB43" s="632">
        <v>1</v>
      </c>
      <c r="AC43" s="632">
        <v>0</v>
      </c>
      <c r="AD43" s="632">
        <v>0</v>
      </c>
      <c r="AE43" s="632">
        <v>0</v>
      </c>
      <c r="AF43" s="632">
        <v>0</v>
      </c>
      <c r="AG43" s="632">
        <v>0</v>
      </c>
      <c r="AH43" s="631">
        <v>14</v>
      </c>
      <c r="AI43" s="631">
        <v>15</v>
      </c>
      <c r="AJ43" s="633" t="s">
        <v>457</v>
      </c>
      <c r="AK43" s="669" t="s">
        <v>417</v>
      </c>
      <c r="AL43" s="669" t="s">
        <v>418</v>
      </c>
      <c r="AM43" s="689" t="s">
        <v>445</v>
      </c>
      <c r="AN43" s="683" t="s">
        <v>428</v>
      </c>
    </row>
    <row r="44" spans="1:40" ht="15.75">
      <c r="A44" s="544" t="s">
        <v>125</v>
      </c>
      <c r="B44" s="629" t="str">
        <f>VLOOKUP(Tabla6[[#This Row],[SEDE]],'Cronog Junio 2026'!B25:C116,2,0)</f>
        <v>Bryan A. Urbano</v>
      </c>
      <c r="C44" s="629" t="str">
        <f>VLOOKUP(Tabla6[[#This Row],[SEDE]],'Cronog Junio 2026'!B25:G116,6,0)</f>
        <v>EDUCACION</v>
      </c>
      <c r="D44" s="629" t="str">
        <f>VLOOKUP(Tabla6[[#This Row],[SEDE]],'Cronog Junio 2026'!B25:D116,3,0)</f>
        <v>E010040205</v>
      </c>
      <c r="E44" s="630" t="s">
        <v>107</v>
      </c>
      <c r="F44" s="631">
        <v>136</v>
      </c>
      <c r="G44" s="631">
        <f t="shared" si="0"/>
        <v>55</v>
      </c>
      <c r="H44" s="632">
        <v>6</v>
      </c>
      <c r="I44" s="632">
        <v>0</v>
      </c>
      <c r="J44" s="632">
        <v>4</v>
      </c>
      <c r="K44" s="632">
        <v>0</v>
      </c>
      <c r="L44" s="632">
        <v>4</v>
      </c>
      <c r="M44" s="632">
        <v>0</v>
      </c>
      <c r="N44" s="632">
        <v>3</v>
      </c>
      <c r="O44" s="632">
        <v>0</v>
      </c>
      <c r="P44" s="632">
        <v>0</v>
      </c>
      <c r="Q44" s="632">
        <v>0</v>
      </c>
      <c r="R44" s="632">
        <v>9</v>
      </c>
      <c r="S44" s="632">
        <v>0</v>
      </c>
      <c r="T44" s="632">
        <v>3</v>
      </c>
      <c r="U44" s="632">
        <v>0</v>
      </c>
      <c r="V44" s="632">
        <v>8</v>
      </c>
      <c r="W44" s="632">
        <v>0</v>
      </c>
      <c r="X44" s="632">
        <v>5</v>
      </c>
      <c r="Y44" s="632">
        <v>0</v>
      </c>
      <c r="Z44" s="632">
        <v>3</v>
      </c>
      <c r="AA44" s="632">
        <v>0</v>
      </c>
      <c r="AB44" s="632">
        <v>8</v>
      </c>
      <c r="AC44" s="632">
        <v>0</v>
      </c>
      <c r="AD44" s="632">
        <v>2</v>
      </c>
      <c r="AE44" s="632">
        <v>0</v>
      </c>
      <c r="AF44" s="632">
        <v>0</v>
      </c>
      <c r="AG44" s="632">
        <v>0</v>
      </c>
      <c r="AH44" s="631">
        <v>25</v>
      </c>
      <c r="AI44" s="631">
        <v>30</v>
      </c>
      <c r="AJ44" s="633" t="s">
        <v>458</v>
      </c>
      <c r="AK44" s="669" t="s">
        <v>417</v>
      </c>
      <c r="AL44" s="669" t="s">
        <v>418</v>
      </c>
      <c r="AM44" s="689" t="s">
        <v>445</v>
      </c>
      <c r="AN44" s="683" t="s">
        <v>428</v>
      </c>
    </row>
    <row r="45" spans="1:40" ht="15.75">
      <c r="A45" s="544" t="s">
        <v>127</v>
      </c>
      <c r="B45" s="629" t="str">
        <f>VLOOKUP(Tabla6[[#This Row],[SEDE]],'Cronog Junio 2026'!B26:C117,2,0)</f>
        <v>Bryan A. Urbano</v>
      </c>
      <c r="C45" s="629" t="str">
        <f>VLOOKUP(Tabla6[[#This Row],[SEDE]],'Cronog Junio 2026'!B26:G117,6,0)</f>
        <v>SALUD</v>
      </c>
      <c r="D45" s="629" t="str">
        <f>VLOOKUP(Tabla6[[#This Row],[SEDE]],'Cronog Junio 2026'!B26:D117,3,0)</f>
        <v>S010160205</v>
      </c>
      <c r="E45" s="630"/>
      <c r="F45" s="631"/>
      <c r="G45" s="631">
        <f t="shared" si="0"/>
        <v>0</v>
      </c>
      <c r="H45" s="632"/>
      <c r="I45" s="632"/>
      <c r="J45" s="632"/>
      <c r="K45" s="632"/>
      <c r="L45" s="632"/>
      <c r="M45" s="632"/>
      <c r="N45" s="632"/>
      <c r="O45" s="632"/>
      <c r="P45" s="632"/>
      <c r="Q45" s="632"/>
      <c r="R45" s="632"/>
      <c r="S45" s="632"/>
      <c r="T45" s="632"/>
      <c r="U45" s="632"/>
      <c r="V45" s="632"/>
      <c r="W45" s="632"/>
      <c r="X45" s="632"/>
      <c r="Y45" s="632"/>
      <c r="Z45" s="632"/>
      <c r="AA45" s="632"/>
      <c r="AB45" s="632"/>
      <c r="AC45" s="632"/>
      <c r="AD45" s="632"/>
      <c r="AE45" s="632"/>
      <c r="AF45" s="632"/>
      <c r="AG45" s="632"/>
      <c r="AH45" s="631"/>
      <c r="AI45" s="631"/>
      <c r="AJ45" s="633"/>
      <c r="AK45" s="629"/>
      <c r="AL45" s="629"/>
      <c r="AM45" s="629"/>
      <c r="AN45" s="683" t="s">
        <v>433</v>
      </c>
    </row>
    <row r="46" spans="1:40" ht="30">
      <c r="A46" s="544" t="s">
        <v>129</v>
      </c>
      <c r="B46" s="629" t="str">
        <f>VLOOKUP(Tabla6[[#This Row],[SEDE]],'Cronog Junio 2026'!B27:C118,2,0)</f>
        <v>Bryan A. Urbano</v>
      </c>
      <c r="C46" s="629" t="str">
        <f>VLOOKUP(Tabla6[[#This Row],[SEDE]],'Cronog Junio 2026'!B27:G118,6,0)</f>
        <v>EDUCACION</v>
      </c>
      <c r="D46" s="629" t="str">
        <f>VLOOKUP(Tabla6[[#This Row],[SEDE]],'Cronog Junio 2026'!B27:D118,3,0)</f>
        <v>E010046105</v>
      </c>
      <c r="E46" s="686" t="s">
        <v>131</v>
      </c>
      <c r="F46" s="672">
        <v>144</v>
      </c>
      <c r="G46" s="672">
        <f>+H46+J46+L46+N46+P46+R46+T46+V46+X46+Z46+AB46+AD46+AF46</f>
        <v>58</v>
      </c>
      <c r="H46" s="687">
        <v>7</v>
      </c>
      <c r="I46" s="687">
        <v>0</v>
      </c>
      <c r="J46" s="687">
        <v>17</v>
      </c>
      <c r="K46" s="687">
        <v>0</v>
      </c>
      <c r="L46" s="687">
        <v>12</v>
      </c>
      <c r="M46" s="687">
        <v>0</v>
      </c>
      <c r="N46" s="687">
        <v>0</v>
      </c>
      <c r="O46" s="687">
        <v>0</v>
      </c>
      <c r="P46" s="687">
        <v>1</v>
      </c>
      <c r="Q46" s="687">
        <v>0</v>
      </c>
      <c r="R46" s="687">
        <v>5</v>
      </c>
      <c r="S46" s="687">
        <v>0</v>
      </c>
      <c r="T46" s="687">
        <v>4</v>
      </c>
      <c r="U46" s="687">
        <v>0</v>
      </c>
      <c r="V46" s="687">
        <v>2</v>
      </c>
      <c r="W46" s="687">
        <v>0</v>
      </c>
      <c r="X46" s="687">
        <v>3</v>
      </c>
      <c r="Y46" s="687">
        <v>0</v>
      </c>
      <c r="Z46" s="687">
        <v>0</v>
      </c>
      <c r="AA46" s="687">
        <v>0</v>
      </c>
      <c r="AB46" s="687">
        <v>6</v>
      </c>
      <c r="AC46" s="687">
        <v>0</v>
      </c>
      <c r="AD46" s="687">
        <v>1</v>
      </c>
      <c r="AE46" s="687">
        <v>0</v>
      </c>
      <c r="AF46" s="687">
        <v>0</v>
      </c>
      <c r="AG46" s="687">
        <v>0</v>
      </c>
      <c r="AH46" s="672">
        <v>27</v>
      </c>
      <c r="AI46" s="672">
        <v>31</v>
      </c>
      <c r="AJ46" s="688" t="s">
        <v>459</v>
      </c>
      <c r="AK46" s="669" t="s">
        <v>417</v>
      </c>
      <c r="AL46" s="669" t="s">
        <v>418</v>
      </c>
      <c r="AM46" s="689" t="s">
        <v>445</v>
      </c>
      <c r="AN46" s="683" t="s">
        <v>428</v>
      </c>
    </row>
    <row r="47" spans="1:40" ht="15.75">
      <c r="A47" s="635" t="s">
        <v>132</v>
      </c>
      <c r="B47" s="629" t="str">
        <f>VLOOKUP(Tabla6[[#This Row],[SEDE]],'Cronog Junio 2026'!B28:C119,2,0)</f>
        <v>Bryan A. Urbano</v>
      </c>
      <c r="C47" s="629" t="str">
        <f>VLOOKUP(Tabla6[[#This Row],[SEDE]],'Cronog Junio 2026'!B28:G119,6,0)</f>
        <v>EDUCACION</v>
      </c>
      <c r="D47" s="629" t="str">
        <f>VLOOKUP(Tabla6[[#This Row],[SEDE]],'Cronog Junio 2026'!B28:D119,3,0)</f>
        <v>E010010205</v>
      </c>
      <c r="E47" s="630"/>
      <c r="F47" s="631"/>
      <c r="G47" s="631">
        <f t="shared" si="0"/>
        <v>0</v>
      </c>
      <c r="H47" s="632"/>
      <c r="I47" s="632"/>
      <c r="J47" s="632"/>
      <c r="K47" s="632"/>
      <c r="L47" s="632"/>
      <c r="M47" s="632"/>
      <c r="N47" s="632"/>
      <c r="O47" s="632"/>
      <c r="P47" s="632"/>
      <c r="Q47" s="632"/>
      <c r="R47" s="632"/>
      <c r="S47" s="632"/>
      <c r="T47" s="632"/>
      <c r="U47" s="632"/>
      <c r="V47" s="632"/>
      <c r="W47" s="632"/>
      <c r="X47" s="632"/>
      <c r="Y47" s="632"/>
      <c r="Z47" s="632"/>
      <c r="AA47" s="632"/>
      <c r="AB47" s="632"/>
      <c r="AC47" s="632"/>
      <c r="AD47" s="632"/>
      <c r="AE47" s="632"/>
      <c r="AF47" s="632"/>
      <c r="AG47" s="632"/>
      <c r="AH47" s="631"/>
      <c r="AI47" s="631"/>
      <c r="AJ47" s="633"/>
      <c r="AK47" s="629"/>
      <c r="AL47" s="629"/>
      <c r="AM47" s="629"/>
      <c r="AN47" s="683" t="s">
        <v>428</v>
      </c>
    </row>
    <row r="48" spans="1:40" s="651" customFormat="1" ht="15.75">
      <c r="A48" s="636"/>
      <c r="B48" s="637"/>
      <c r="C48" s="637"/>
      <c r="D48" s="637"/>
      <c r="E48" s="638"/>
      <c r="F48" s="639"/>
      <c r="G48" s="639">
        <f>+H48+J48+L48+N48+R48+T48+V48+X48+Z48+AB48+AD48+AF48</f>
        <v>0</v>
      </c>
      <c r="H48" s="640"/>
      <c r="I48" s="640"/>
      <c r="J48" s="640"/>
      <c r="K48" s="640"/>
      <c r="L48" s="640"/>
      <c r="M48" s="640"/>
      <c r="N48" s="640"/>
      <c r="O48" s="640"/>
      <c r="P48" s="640"/>
      <c r="Q48" s="640"/>
      <c r="R48" s="640"/>
      <c r="S48" s="640"/>
      <c r="T48" s="640"/>
      <c r="U48" s="640"/>
      <c r="V48" s="640"/>
      <c r="W48" s="640"/>
      <c r="X48" s="640"/>
      <c r="Y48" s="640"/>
      <c r="Z48" s="640"/>
      <c r="AA48" s="640"/>
      <c r="AB48" s="640"/>
      <c r="AC48" s="640"/>
      <c r="AD48" s="640"/>
      <c r="AE48" s="640"/>
      <c r="AF48" s="640"/>
      <c r="AG48" s="640"/>
      <c r="AH48" s="639"/>
      <c r="AI48" s="639"/>
      <c r="AJ48" s="641"/>
      <c r="AK48" s="629"/>
      <c r="AL48" s="629"/>
      <c r="AM48" s="629"/>
      <c r="AN48" s="683"/>
    </row>
    <row r="49" spans="1:40" s="667" customFormat="1" ht="16.5">
      <c r="A49" s="668" t="s">
        <v>134</v>
      </c>
      <c r="B49" s="629" t="str">
        <f>VLOOKUP(Tabla6[[#This Row],[SEDE]],'Cronog Junio 2026'!B29:C120,2,0)</f>
        <v>Andres Carrillo</v>
      </c>
      <c r="C49" s="629" t="str">
        <f>VLOOKUP(Tabla6[[#This Row],[SEDE]],'Cronog Junio 2026'!B29:G120,6,0)</f>
        <v>RECREACION</v>
      </c>
      <c r="D49" s="629" t="str">
        <f>VLOOKUP(Tabla6[[#This Row],[SEDE]],'Cronog Junio 2026'!B29:D120,3,0)</f>
        <v>R010250205</v>
      </c>
      <c r="E49" s="657" t="s">
        <v>415</v>
      </c>
      <c r="F49" s="655">
        <v>176</v>
      </c>
      <c r="G49" s="655">
        <f>+H49+J49+L49+N49+P49+R49+T49+V49+X49+Z49+AB49+AD49+AF49</f>
        <v>22</v>
      </c>
      <c r="H49" s="658">
        <v>3</v>
      </c>
      <c r="I49" s="658">
        <v>0</v>
      </c>
      <c r="J49" s="658">
        <v>8</v>
      </c>
      <c r="K49" s="658">
        <v>0</v>
      </c>
      <c r="L49" s="658">
        <v>5</v>
      </c>
      <c r="M49" s="658">
        <v>0</v>
      </c>
      <c r="N49" s="658">
        <v>1</v>
      </c>
      <c r="O49" s="658">
        <v>0</v>
      </c>
      <c r="P49" s="658">
        <v>1</v>
      </c>
      <c r="Q49" s="658">
        <v>0</v>
      </c>
      <c r="R49" s="658">
        <v>3</v>
      </c>
      <c r="S49" s="658">
        <v>0</v>
      </c>
      <c r="T49" s="658">
        <v>0</v>
      </c>
      <c r="U49" s="658">
        <v>0</v>
      </c>
      <c r="V49" s="658">
        <v>0</v>
      </c>
      <c r="W49" s="658">
        <v>0</v>
      </c>
      <c r="X49" s="658">
        <v>1</v>
      </c>
      <c r="Y49" s="658">
        <v>0</v>
      </c>
      <c r="Z49" s="658">
        <v>0</v>
      </c>
      <c r="AA49" s="658">
        <v>0</v>
      </c>
      <c r="AB49" s="658">
        <v>0</v>
      </c>
      <c r="AC49" s="658">
        <v>0</v>
      </c>
      <c r="AD49" s="658">
        <v>0</v>
      </c>
      <c r="AE49" s="658">
        <v>0</v>
      </c>
      <c r="AF49" s="658">
        <v>0</v>
      </c>
      <c r="AG49" s="658">
        <v>0</v>
      </c>
      <c r="AH49" s="655">
        <v>15</v>
      </c>
      <c r="AI49" s="655">
        <v>7</v>
      </c>
      <c r="AJ49" s="659" t="s">
        <v>460</v>
      </c>
      <c r="AK49" s="656" t="s">
        <v>427</v>
      </c>
      <c r="AL49" s="656" t="s">
        <v>418</v>
      </c>
      <c r="AM49" s="677" t="s">
        <v>419</v>
      </c>
      <c r="AN49" s="683" t="s">
        <v>437</v>
      </c>
    </row>
    <row r="50" spans="1:40" s="667" customFormat="1" ht="15.75">
      <c r="A50" s="634"/>
      <c r="B50" s="629"/>
      <c r="C50" s="629"/>
      <c r="D50" s="629"/>
      <c r="E50" s="657" t="s">
        <v>421</v>
      </c>
      <c r="F50" s="655">
        <v>160</v>
      </c>
      <c r="G50" s="655">
        <f>+H50+J50+L50+N50+P50+R50+T50+V50+X50+Z50+AB50+AD50+AF50</f>
        <v>19</v>
      </c>
      <c r="H50" s="658">
        <v>0</v>
      </c>
      <c r="I50" s="658">
        <v>0</v>
      </c>
      <c r="J50" s="658">
        <v>5</v>
      </c>
      <c r="K50" s="658">
        <v>0</v>
      </c>
      <c r="L50" s="658">
        <v>2</v>
      </c>
      <c r="M50" s="658">
        <v>0</v>
      </c>
      <c r="N50" s="658">
        <v>5</v>
      </c>
      <c r="O50" s="658">
        <v>0</v>
      </c>
      <c r="P50" s="658">
        <v>0</v>
      </c>
      <c r="Q50" s="658">
        <v>0</v>
      </c>
      <c r="R50" s="658">
        <v>4</v>
      </c>
      <c r="S50" s="658">
        <v>0</v>
      </c>
      <c r="T50" s="658">
        <v>0</v>
      </c>
      <c r="U50" s="658">
        <v>0</v>
      </c>
      <c r="V50" s="658">
        <v>0</v>
      </c>
      <c r="W50" s="658">
        <v>0</v>
      </c>
      <c r="X50" s="658">
        <v>1</v>
      </c>
      <c r="Y50" s="658">
        <v>0</v>
      </c>
      <c r="Z50" s="658">
        <v>1</v>
      </c>
      <c r="AA50" s="658">
        <v>0</v>
      </c>
      <c r="AB50" s="658">
        <v>1</v>
      </c>
      <c r="AC50" s="658">
        <v>0</v>
      </c>
      <c r="AD50" s="658">
        <v>0</v>
      </c>
      <c r="AE50" s="658">
        <v>0</v>
      </c>
      <c r="AF50" s="658">
        <v>0</v>
      </c>
      <c r="AG50" s="658">
        <v>0</v>
      </c>
      <c r="AH50" s="655">
        <v>15</v>
      </c>
      <c r="AI50" s="655">
        <v>4</v>
      </c>
      <c r="AJ50" s="659" t="s">
        <v>461</v>
      </c>
      <c r="AK50" s="656" t="s">
        <v>427</v>
      </c>
      <c r="AL50" s="656" t="s">
        <v>418</v>
      </c>
      <c r="AM50" s="677" t="s">
        <v>419</v>
      </c>
      <c r="AN50" s="683"/>
    </row>
    <row r="51" spans="1:40" s="667" customFormat="1" ht="15.75">
      <c r="A51" s="634"/>
      <c r="B51" s="629"/>
      <c r="C51" s="629"/>
      <c r="D51" s="629"/>
      <c r="E51" s="657" t="s">
        <v>439</v>
      </c>
      <c r="F51" s="655">
        <v>160</v>
      </c>
      <c r="G51" s="655">
        <f>+H51+J51+L51+N51+P51+R51+T51+V51+X51+Z51+AB51+AD51+AF51</f>
        <v>16</v>
      </c>
      <c r="H51" s="655">
        <v>4</v>
      </c>
      <c r="I51" s="655">
        <v>0</v>
      </c>
      <c r="J51" s="655">
        <v>2</v>
      </c>
      <c r="K51" s="655">
        <v>0</v>
      </c>
      <c r="L51" s="655">
        <v>8</v>
      </c>
      <c r="M51" s="655">
        <v>0</v>
      </c>
      <c r="N51" s="655">
        <v>2</v>
      </c>
      <c r="O51" s="655">
        <v>0</v>
      </c>
      <c r="P51" s="655">
        <v>0</v>
      </c>
      <c r="Q51" s="655">
        <v>0</v>
      </c>
      <c r="R51" s="655">
        <v>0</v>
      </c>
      <c r="S51" s="655">
        <v>0</v>
      </c>
      <c r="T51" s="655">
        <v>0</v>
      </c>
      <c r="U51" s="655">
        <v>0</v>
      </c>
      <c r="V51" s="655">
        <v>0</v>
      </c>
      <c r="W51" s="655">
        <v>0</v>
      </c>
      <c r="X51" s="655">
        <v>0</v>
      </c>
      <c r="Y51" s="655">
        <v>0</v>
      </c>
      <c r="Z51" s="655">
        <v>0</v>
      </c>
      <c r="AA51" s="655">
        <v>0</v>
      </c>
      <c r="AB51" s="655">
        <v>0</v>
      </c>
      <c r="AC51" s="655">
        <v>0</v>
      </c>
      <c r="AD51" s="655">
        <v>0</v>
      </c>
      <c r="AE51" s="655">
        <v>0</v>
      </c>
      <c r="AF51" s="655">
        <v>0</v>
      </c>
      <c r="AG51" s="655">
        <v>0</v>
      </c>
      <c r="AH51" s="655">
        <v>13</v>
      </c>
      <c r="AI51" s="655">
        <v>3</v>
      </c>
      <c r="AJ51" s="659" t="s">
        <v>462</v>
      </c>
      <c r="AK51" s="656" t="s">
        <v>427</v>
      </c>
      <c r="AL51" s="656" t="s">
        <v>418</v>
      </c>
      <c r="AM51" s="677" t="s">
        <v>419</v>
      </c>
      <c r="AN51" s="683"/>
    </row>
    <row r="52" spans="1:40" s="667" customFormat="1" ht="15.75">
      <c r="A52" s="634"/>
      <c r="B52" s="669"/>
      <c r="C52" s="669"/>
      <c r="D52" s="669"/>
      <c r="E52" s="630"/>
      <c r="F52" s="631">
        <f>F49+F50+F51</f>
        <v>496</v>
      </c>
      <c r="G52" s="631">
        <f t="shared" ref="G52:AI52" si="2">G49+G50+G51</f>
        <v>57</v>
      </c>
      <c r="H52" s="631">
        <f t="shared" si="2"/>
        <v>7</v>
      </c>
      <c r="I52" s="631">
        <f t="shared" si="2"/>
        <v>0</v>
      </c>
      <c r="J52" s="631">
        <f t="shared" si="2"/>
        <v>15</v>
      </c>
      <c r="K52" s="631">
        <f t="shared" si="2"/>
        <v>0</v>
      </c>
      <c r="L52" s="631">
        <f t="shared" si="2"/>
        <v>15</v>
      </c>
      <c r="M52" s="631">
        <f t="shared" si="2"/>
        <v>0</v>
      </c>
      <c r="N52" s="631">
        <f t="shared" si="2"/>
        <v>8</v>
      </c>
      <c r="O52" s="631">
        <f t="shared" si="2"/>
        <v>0</v>
      </c>
      <c r="P52" s="631">
        <f t="shared" si="2"/>
        <v>1</v>
      </c>
      <c r="Q52" s="631">
        <f t="shared" si="2"/>
        <v>0</v>
      </c>
      <c r="R52" s="631">
        <f t="shared" si="2"/>
        <v>7</v>
      </c>
      <c r="S52" s="631">
        <f t="shared" si="2"/>
        <v>0</v>
      </c>
      <c r="T52" s="631">
        <f t="shared" si="2"/>
        <v>0</v>
      </c>
      <c r="U52" s="631">
        <f t="shared" si="2"/>
        <v>0</v>
      </c>
      <c r="V52" s="631">
        <f t="shared" si="2"/>
        <v>0</v>
      </c>
      <c r="W52" s="631">
        <f t="shared" si="2"/>
        <v>0</v>
      </c>
      <c r="X52" s="631">
        <f t="shared" si="2"/>
        <v>2</v>
      </c>
      <c r="Y52" s="631">
        <f t="shared" si="2"/>
        <v>0</v>
      </c>
      <c r="Z52" s="631">
        <f t="shared" si="2"/>
        <v>1</v>
      </c>
      <c r="AA52" s="631">
        <f t="shared" si="2"/>
        <v>0</v>
      </c>
      <c r="AB52" s="631">
        <f t="shared" si="2"/>
        <v>1</v>
      </c>
      <c r="AC52" s="631">
        <f t="shared" si="2"/>
        <v>0</v>
      </c>
      <c r="AD52" s="631">
        <f t="shared" si="2"/>
        <v>0</v>
      </c>
      <c r="AE52" s="631">
        <f t="shared" si="2"/>
        <v>0</v>
      </c>
      <c r="AF52" s="631">
        <f t="shared" si="2"/>
        <v>0</v>
      </c>
      <c r="AG52" s="631">
        <f t="shared" si="2"/>
        <v>0</v>
      </c>
      <c r="AH52" s="631">
        <f t="shared" si="2"/>
        <v>43</v>
      </c>
      <c r="AI52" s="631">
        <f t="shared" si="2"/>
        <v>14</v>
      </c>
      <c r="AJ52" s="633"/>
      <c r="AK52" s="629"/>
      <c r="AL52" s="629"/>
      <c r="AM52" s="629"/>
      <c r="AN52" s="683"/>
    </row>
    <row r="53" spans="1:40" ht="15.75">
      <c r="A53" s="654" t="s">
        <v>138</v>
      </c>
      <c r="B53" s="656" t="str">
        <f>VLOOKUP(Tabla6[[#This Row],[SEDE]],'Cronog Junio 2026'!B30:C121,2,0)</f>
        <v>Andres Carrillo</v>
      </c>
      <c r="C53" s="656" t="str">
        <f>VLOOKUP(Tabla6[[#This Row],[SEDE]],'Cronog Junio 2026'!B30:G121,6,0)</f>
        <v>SALUD</v>
      </c>
      <c r="D53" s="656" t="str">
        <f>VLOOKUP(Tabla6[[#This Row],[SEDE]],'Cronog Junio 2026'!B30:D121,3,0)</f>
        <v>S010120205</v>
      </c>
      <c r="E53" s="657" t="s">
        <v>425</v>
      </c>
      <c r="F53" s="655">
        <v>135</v>
      </c>
      <c r="G53" s="655">
        <f t="shared" si="0"/>
        <v>27</v>
      </c>
      <c r="H53" s="658">
        <v>2</v>
      </c>
      <c r="I53" s="658">
        <v>0</v>
      </c>
      <c r="J53" s="658">
        <v>3</v>
      </c>
      <c r="K53" s="658">
        <v>0</v>
      </c>
      <c r="L53" s="658">
        <v>1</v>
      </c>
      <c r="M53" s="658">
        <v>0</v>
      </c>
      <c r="N53" s="658">
        <v>8</v>
      </c>
      <c r="O53" s="658">
        <v>0</v>
      </c>
      <c r="P53" s="658">
        <v>9</v>
      </c>
      <c r="Q53" s="658">
        <v>0</v>
      </c>
      <c r="R53" s="658">
        <v>0</v>
      </c>
      <c r="S53" s="658">
        <v>0</v>
      </c>
      <c r="T53" s="658">
        <v>1</v>
      </c>
      <c r="U53" s="658">
        <v>0</v>
      </c>
      <c r="V53" s="658">
        <v>0</v>
      </c>
      <c r="W53" s="658">
        <v>0</v>
      </c>
      <c r="X53" s="658">
        <v>2</v>
      </c>
      <c r="Y53" s="658">
        <v>0</v>
      </c>
      <c r="Z53" s="658">
        <v>0</v>
      </c>
      <c r="AA53" s="658">
        <v>0</v>
      </c>
      <c r="AB53" s="658">
        <v>0</v>
      </c>
      <c r="AC53" s="658">
        <v>0</v>
      </c>
      <c r="AD53" s="658">
        <v>1</v>
      </c>
      <c r="AE53" s="658">
        <v>0</v>
      </c>
      <c r="AF53" s="658">
        <v>0</v>
      </c>
      <c r="AG53" s="658">
        <v>0</v>
      </c>
      <c r="AH53" s="655">
        <v>8</v>
      </c>
      <c r="AI53" s="655">
        <v>19</v>
      </c>
      <c r="AJ53" s="659" t="s">
        <v>463</v>
      </c>
      <c r="AK53" s="656" t="s">
        <v>427</v>
      </c>
      <c r="AL53" s="656" t="s">
        <v>419</v>
      </c>
      <c r="AM53" s="677" t="s">
        <v>419</v>
      </c>
      <c r="AN53" s="683" t="s">
        <v>464</v>
      </c>
    </row>
    <row r="54" spans="1:40" ht="15.75">
      <c r="A54" s="634"/>
      <c r="B54" s="629"/>
      <c r="C54" s="629"/>
      <c r="D54" s="629"/>
      <c r="E54" s="657" t="s">
        <v>465</v>
      </c>
      <c r="F54" s="655">
        <v>133.80000000000001</v>
      </c>
      <c r="G54" s="655">
        <f t="shared" si="0"/>
        <v>32</v>
      </c>
      <c r="H54" s="658">
        <v>1</v>
      </c>
      <c r="I54" s="658">
        <v>0</v>
      </c>
      <c r="J54" s="658">
        <v>5</v>
      </c>
      <c r="K54" s="658">
        <v>0</v>
      </c>
      <c r="L54" s="658">
        <v>2</v>
      </c>
      <c r="M54" s="658">
        <v>0</v>
      </c>
      <c r="N54" s="658">
        <v>10</v>
      </c>
      <c r="O54" s="658">
        <v>0</v>
      </c>
      <c r="P54" s="658">
        <v>10</v>
      </c>
      <c r="Q54" s="658">
        <v>0</v>
      </c>
      <c r="R54" s="658">
        <v>1</v>
      </c>
      <c r="S54" s="658">
        <v>0</v>
      </c>
      <c r="T54" s="658">
        <v>1</v>
      </c>
      <c r="U54" s="658">
        <v>0</v>
      </c>
      <c r="V54" s="658">
        <v>0</v>
      </c>
      <c r="W54" s="658">
        <v>0</v>
      </c>
      <c r="X54" s="658">
        <v>1</v>
      </c>
      <c r="Y54" s="658">
        <v>0</v>
      </c>
      <c r="Z54" s="658">
        <v>0</v>
      </c>
      <c r="AA54" s="658">
        <v>0</v>
      </c>
      <c r="AB54" s="658">
        <v>0</v>
      </c>
      <c r="AC54" s="658">
        <v>0</v>
      </c>
      <c r="AD54" s="658">
        <v>1</v>
      </c>
      <c r="AE54" s="658">
        <v>0</v>
      </c>
      <c r="AF54" s="658">
        <v>0</v>
      </c>
      <c r="AG54" s="658">
        <v>0</v>
      </c>
      <c r="AH54" s="655">
        <v>8</v>
      </c>
      <c r="AI54" s="655">
        <v>24</v>
      </c>
      <c r="AJ54" s="659" t="s">
        <v>466</v>
      </c>
      <c r="AK54" s="656" t="s">
        <v>427</v>
      </c>
      <c r="AL54" s="656" t="s">
        <v>419</v>
      </c>
      <c r="AM54" s="677" t="s">
        <v>419</v>
      </c>
      <c r="AN54" s="683"/>
    </row>
    <row r="55" spans="1:40" ht="15.75">
      <c r="A55" s="634"/>
      <c r="B55" s="629"/>
      <c r="C55" s="629"/>
      <c r="D55" s="629"/>
      <c r="E55" s="630" t="s">
        <v>439</v>
      </c>
      <c r="F55" s="631">
        <v>123</v>
      </c>
      <c r="G55" s="655">
        <f t="shared" si="0"/>
        <v>25</v>
      </c>
      <c r="H55" s="631">
        <v>1</v>
      </c>
      <c r="I55" s="631">
        <v>0</v>
      </c>
      <c r="J55" s="631">
        <v>3</v>
      </c>
      <c r="K55" s="631">
        <v>0</v>
      </c>
      <c r="L55" s="631">
        <v>3</v>
      </c>
      <c r="M55" s="631">
        <v>0</v>
      </c>
      <c r="N55" s="631">
        <v>7</v>
      </c>
      <c r="O55" s="631">
        <v>0</v>
      </c>
      <c r="P55" s="631">
        <v>8</v>
      </c>
      <c r="Q55" s="631">
        <v>0</v>
      </c>
      <c r="R55" s="631">
        <v>0</v>
      </c>
      <c r="S55" s="631">
        <v>0</v>
      </c>
      <c r="T55" s="631">
        <v>1</v>
      </c>
      <c r="U55" s="631">
        <v>0</v>
      </c>
      <c r="V55" s="631">
        <v>0</v>
      </c>
      <c r="W55" s="631">
        <v>0</v>
      </c>
      <c r="X55" s="631">
        <v>0</v>
      </c>
      <c r="Y55" s="631">
        <v>0</v>
      </c>
      <c r="Z55" s="631">
        <v>2</v>
      </c>
      <c r="AA55" s="631">
        <v>0</v>
      </c>
      <c r="AB55" s="631">
        <v>0</v>
      </c>
      <c r="AC55" s="631">
        <v>0</v>
      </c>
      <c r="AD55" s="631">
        <v>0</v>
      </c>
      <c r="AE55" s="631">
        <v>0</v>
      </c>
      <c r="AF55" s="631">
        <v>0</v>
      </c>
      <c r="AG55" s="631">
        <v>0</v>
      </c>
      <c r="AH55" s="631">
        <v>7</v>
      </c>
      <c r="AI55" s="631">
        <v>18</v>
      </c>
      <c r="AJ55" s="633" t="s">
        <v>467</v>
      </c>
      <c r="AK55" s="656" t="s">
        <v>427</v>
      </c>
      <c r="AL55" s="656" t="s">
        <v>445</v>
      </c>
      <c r="AM55" s="677" t="s">
        <v>445</v>
      </c>
      <c r="AN55" s="683"/>
    </row>
    <row r="56" spans="1:40" ht="15.75">
      <c r="A56" s="634"/>
      <c r="B56" s="629"/>
      <c r="C56" s="629"/>
      <c r="D56" s="629"/>
      <c r="E56" s="630"/>
      <c r="F56" s="631"/>
      <c r="G56" s="631"/>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c r="AG56" s="631"/>
      <c r="AH56" s="631"/>
      <c r="AI56" s="631"/>
      <c r="AJ56" s="633"/>
      <c r="AK56" s="629"/>
      <c r="AL56" s="629"/>
      <c r="AM56" s="629"/>
      <c r="AN56" s="683"/>
    </row>
    <row r="57" spans="1:40" ht="15.75">
      <c r="A57" s="634" t="s">
        <v>141</v>
      </c>
      <c r="B57" s="629" t="str">
        <f>VLOOKUP(Tabla6[[#This Row],[SEDE]],'Cronog Junio 2026'!B31:C122,2,0)</f>
        <v>Andres Carrillo</v>
      </c>
      <c r="C57" s="629" t="str">
        <f>VLOOKUP(Tabla6[[#This Row],[SEDE]],'Cronog Junio 2026'!B31:G122,6,0)</f>
        <v>SALUD</v>
      </c>
      <c r="D57" s="629" t="str">
        <f>VLOOKUP(Tabla6[[#This Row],[SEDE]],'Cronog Junio 2026'!B31:D122,3,0)</f>
        <v>S010160205</v>
      </c>
      <c r="E57" s="630" t="s">
        <v>142</v>
      </c>
      <c r="F57" s="631">
        <v>40</v>
      </c>
      <c r="G57" s="655">
        <f t="shared" si="0"/>
        <v>14</v>
      </c>
      <c r="H57" s="632">
        <v>1</v>
      </c>
      <c r="I57" s="632">
        <v>0</v>
      </c>
      <c r="J57" s="632">
        <v>1</v>
      </c>
      <c r="K57" s="632">
        <v>0</v>
      </c>
      <c r="L57" s="632">
        <v>1</v>
      </c>
      <c r="M57" s="632">
        <v>0</v>
      </c>
      <c r="N57" s="632">
        <v>2</v>
      </c>
      <c r="O57" s="632">
        <v>0</v>
      </c>
      <c r="P57" s="632">
        <v>0</v>
      </c>
      <c r="Q57" s="632">
        <v>0</v>
      </c>
      <c r="R57" s="632">
        <v>0</v>
      </c>
      <c r="S57" s="632">
        <v>0</v>
      </c>
      <c r="T57" s="632">
        <v>2</v>
      </c>
      <c r="U57" s="632">
        <v>0</v>
      </c>
      <c r="V57" s="632">
        <v>0</v>
      </c>
      <c r="W57" s="632">
        <v>0</v>
      </c>
      <c r="X57" s="632">
        <v>7</v>
      </c>
      <c r="Y57" s="632">
        <v>0</v>
      </c>
      <c r="Z57" s="632">
        <v>0</v>
      </c>
      <c r="AA57" s="632">
        <v>0</v>
      </c>
      <c r="AB57" s="632">
        <v>0</v>
      </c>
      <c r="AC57" s="632">
        <v>0</v>
      </c>
      <c r="AD57" s="632">
        <v>0</v>
      </c>
      <c r="AE57" s="632">
        <v>0</v>
      </c>
      <c r="AF57" s="632">
        <v>0</v>
      </c>
      <c r="AG57" s="632">
        <v>0</v>
      </c>
      <c r="AH57" s="631">
        <v>7</v>
      </c>
      <c r="AI57" s="631">
        <v>7</v>
      </c>
      <c r="AJ57" s="633" t="s">
        <v>468</v>
      </c>
      <c r="AK57" s="629" t="s">
        <v>417</v>
      </c>
      <c r="AL57" s="629" t="s">
        <v>418</v>
      </c>
      <c r="AM57" s="677" t="s">
        <v>445</v>
      </c>
      <c r="AN57" s="683" t="s">
        <v>433</v>
      </c>
    </row>
    <row r="58" spans="1:40" ht="15.75">
      <c r="A58" s="654" t="s">
        <v>143</v>
      </c>
      <c r="B58" s="656" t="str">
        <f>VLOOKUP(Tabla6[[#This Row],[SEDE]],'Cronog Junio 2026'!B32:C123,2,0)</f>
        <v>Andres Carrillo</v>
      </c>
      <c r="C58" s="656" t="str">
        <f>VLOOKUP(Tabla6[[#This Row],[SEDE]],'Cronog Junio 2026'!B32:G123,6,0)</f>
        <v>MERCADEO</v>
      </c>
      <c r="D58" s="656" t="str">
        <f>VLOOKUP(Tabla6[[#This Row],[SEDE]],'Cronog Junio 2026'!B32:D123,3,0)</f>
        <v>M011501701</v>
      </c>
      <c r="E58" s="657">
        <v>4</v>
      </c>
      <c r="F58" s="655">
        <v>16</v>
      </c>
      <c r="G58" s="655">
        <f t="shared" si="0"/>
        <v>10</v>
      </c>
      <c r="H58" s="658">
        <v>2</v>
      </c>
      <c r="I58" s="658">
        <v>0</v>
      </c>
      <c r="J58" s="658">
        <v>2</v>
      </c>
      <c r="K58" s="658">
        <v>0</v>
      </c>
      <c r="L58" s="658">
        <v>2</v>
      </c>
      <c r="M58" s="658">
        <v>0</v>
      </c>
      <c r="N58" s="658">
        <v>0</v>
      </c>
      <c r="O58" s="658">
        <v>0</v>
      </c>
      <c r="P58" s="658">
        <v>0</v>
      </c>
      <c r="Q58" s="658">
        <v>0</v>
      </c>
      <c r="R58" s="658">
        <v>0</v>
      </c>
      <c r="S58" s="658">
        <v>0</v>
      </c>
      <c r="T58" s="658">
        <v>3</v>
      </c>
      <c r="U58" s="658">
        <v>0</v>
      </c>
      <c r="V58" s="658">
        <v>1</v>
      </c>
      <c r="W58" s="658">
        <v>0</v>
      </c>
      <c r="X58" s="658">
        <v>0</v>
      </c>
      <c r="Y58" s="658">
        <v>0</v>
      </c>
      <c r="Z58" s="658">
        <v>0</v>
      </c>
      <c r="AA58" s="658">
        <v>0</v>
      </c>
      <c r="AB58" s="658">
        <v>0</v>
      </c>
      <c r="AC58" s="658">
        <v>0</v>
      </c>
      <c r="AD58" s="658">
        <v>0</v>
      </c>
      <c r="AE58" s="658">
        <v>0</v>
      </c>
      <c r="AF58" s="658">
        <v>0</v>
      </c>
      <c r="AG58" s="658">
        <v>0</v>
      </c>
      <c r="AH58" s="655">
        <v>6</v>
      </c>
      <c r="AI58" s="655">
        <v>4</v>
      </c>
      <c r="AJ58" s="659" t="s">
        <v>469</v>
      </c>
      <c r="AK58" s="656" t="s">
        <v>417</v>
      </c>
      <c r="AL58" s="656" t="s">
        <v>418</v>
      </c>
      <c r="AM58" s="677" t="s">
        <v>419</v>
      </c>
      <c r="AN58" s="683" t="s">
        <v>449</v>
      </c>
    </row>
    <row r="59" spans="1:40" ht="15.75">
      <c r="A59" s="654" t="s">
        <v>145</v>
      </c>
      <c r="B59" s="656" t="str">
        <f>VLOOKUP(Tabla6[[#This Row],[SEDE]],'Cronog Junio 2026'!B33:C124,2,0)</f>
        <v>Andres Carrillo</v>
      </c>
      <c r="C59" s="656" t="str">
        <f>VLOOKUP(Tabla6[[#This Row],[SEDE]],'Cronog Junio 2026'!B33:G124,6,0)</f>
        <v>MERCADEO</v>
      </c>
      <c r="D59" s="656" t="str">
        <f>VLOOKUP(Tabla6[[#This Row],[SEDE]],'Cronog Junio 2026'!B33:D124,3,0)</f>
        <v>M011360213</v>
      </c>
      <c r="E59" s="657" t="s">
        <v>147</v>
      </c>
      <c r="F59" s="655">
        <v>16</v>
      </c>
      <c r="G59" s="655">
        <f t="shared" si="0"/>
        <v>11</v>
      </c>
      <c r="H59" s="658">
        <v>1</v>
      </c>
      <c r="I59" s="658">
        <v>0</v>
      </c>
      <c r="J59" s="658">
        <v>2</v>
      </c>
      <c r="K59" s="658">
        <v>0</v>
      </c>
      <c r="L59" s="658">
        <v>1</v>
      </c>
      <c r="M59" s="658">
        <v>0</v>
      </c>
      <c r="N59" s="658">
        <v>0</v>
      </c>
      <c r="O59" s="658">
        <v>0</v>
      </c>
      <c r="P59" s="658">
        <v>0</v>
      </c>
      <c r="Q59" s="658">
        <v>0</v>
      </c>
      <c r="R59" s="658">
        <v>0</v>
      </c>
      <c r="S59" s="658">
        <v>0</v>
      </c>
      <c r="T59" s="658">
        <v>2</v>
      </c>
      <c r="U59" s="658">
        <v>0</v>
      </c>
      <c r="V59" s="658">
        <v>4</v>
      </c>
      <c r="W59" s="658">
        <v>0</v>
      </c>
      <c r="X59" s="658">
        <v>1</v>
      </c>
      <c r="Y59" s="658">
        <v>0</v>
      </c>
      <c r="Z59" s="658">
        <v>0</v>
      </c>
      <c r="AA59" s="658">
        <v>0</v>
      </c>
      <c r="AB59" s="658">
        <v>0</v>
      </c>
      <c r="AC59" s="658">
        <v>0</v>
      </c>
      <c r="AD59" s="658">
        <v>0</v>
      </c>
      <c r="AE59" s="658">
        <v>0</v>
      </c>
      <c r="AF59" s="658">
        <v>0</v>
      </c>
      <c r="AG59" s="658">
        <v>0</v>
      </c>
      <c r="AH59" s="655">
        <v>8</v>
      </c>
      <c r="AI59" s="655">
        <v>3</v>
      </c>
      <c r="AJ59" s="659" t="s">
        <v>470</v>
      </c>
      <c r="AK59" s="656" t="s">
        <v>417</v>
      </c>
      <c r="AL59" s="656" t="s">
        <v>418</v>
      </c>
      <c r="AM59" s="677" t="s">
        <v>419</v>
      </c>
      <c r="AN59" s="683" t="s">
        <v>449</v>
      </c>
    </row>
    <row r="60" spans="1:40" ht="15.75">
      <c r="A60" s="654" t="s">
        <v>148</v>
      </c>
      <c r="B60" s="656" t="str">
        <f>VLOOKUP(Tabla6[[#This Row],[SEDE]],'Cronog Junio 2026'!B34:C125,2,0)</f>
        <v>Andres Carrillo</v>
      </c>
      <c r="C60" s="656" t="str">
        <f>VLOOKUP(Tabla6[[#This Row],[SEDE]],'Cronog Junio 2026'!B34:G125,6,0)</f>
        <v>MERCADEO</v>
      </c>
      <c r="D60" s="656" t="str">
        <f>VLOOKUP(Tabla6[[#This Row],[SEDE]],'Cronog Junio 2026'!B34:D125,3,0)</f>
        <v>M011610213</v>
      </c>
      <c r="E60" s="657">
        <v>5</v>
      </c>
      <c r="F60" s="655">
        <v>24</v>
      </c>
      <c r="G60" s="655">
        <f t="shared" si="0"/>
        <v>10</v>
      </c>
      <c r="H60" s="658">
        <v>1</v>
      </c>
      <c r="I60" s="658">
        <v>0</v>
      </c>
      <c r="J60" s="658">
        <v>3</v>
      </c>
      <c r="K60" s="658">
        <v>0</v>
      </c>
      <c r="L60" s="658">
        <v>2</v>
      </c>
      <c r="M60" s="658">
        <v>0</v>
      </c>
      <c r="N60" s="658">
        <v>0</v>
      </c>
      <c r="O60" s="658">
        <v>0</v>
      </c>
      <c r="P60" s="658">
        <v>0</v>
      </c>
      <c r="Q60" s="658">
        <v>0</v>
      </c>
      <c r="R60" s="658">
        <v>0</v>
      </c>
      <c r="S60" s="658">
        <v>0</v>
      </c>
      <c r="T60" s="658">
        <v>2</v>
      </c>
      <c r="U60" s="658">
        <v>0</v>
      </c>
      <c r="V60" s="658">
        <v>0</v>
      </c>
      <c r="W60" s="658">
        <v>0</v>
      </c>
      <c r="X60" s="658">
        <v>2</v>
      </c>
      <c r="Y60" s="658">
        <v>0</v>
      </c>
      <c r="Z60" s="658">
        <v>0</v>
      </c>
      <c r="AA60" s="658">
        <v>0</v>
      </c>
      <c r="AB60" s="658">
        <v>0</v>
      </c>
      <c r="AC60" s="658">
        <v>0</v>
      </c>
      <c r="AD60" s="658">
        <v>0</v>
      </c>
      <c r="AE60" s="658">
        <v>0</v>
      </c>
      <c r="AF60" s="658">
        <v>0</v>
      </c>
      <c r="AG60" s="658">
        <v>0</v>
      </c>
      <c r="AH60" s="655">
        <v>7</v>
      </c>
      <c r="AI60" s="655">
        <v>3</v>
      </c>
      <c r="AJ60" s="659" t="s">
        <v>471</v>
      </c>
      <c r="AK60" s="656" t="s">
        <v>417</v>
      </c>
      <c r="AL60" s="656" t="s">
        <v>418</v>
      </c>
      <c r="AM60" s="677" t="s">
        <v>419</v>
      </c>
      <c r="AN60" s="683" t="s">
        <v>449</v>
      </c>
    </row>
    <row r="61" spans="1:40" ht="15.75">
      <c r="A61" s="654" t="s">
        <v>150</v>
      </c>
      <c r="B61" s="656" t="str">
        <f>VLOOKUP(Tabla6[[#This Row],[SEDE]],'Cronog Junio 2026'!B35:C126,2,0)</f>
        <v>Andres Carrillo</v>
      </c>
      <c r="C61" s="656" t="str">
        <f>VLOOKUP(Tabla6[[#This Row],[SEDE]],'Cronog Junio 2026'!B35:G126,6,0)</f>
        <v>MERCADEO</v>
      </c>
      <c r="D61" s="656" t="str">
        <f>VLOOKUP(Tabla6[[#This Row],[SEDE]],'Cronog Junio 2026'!B35:D126,3,0)</f>
        <v>M012220213</v>
      </c>
      <c r="E61" s="657">
        <v>19</v>
      </c>
      <c r="F61" s="655">
        <v>16</v>
      </c>
      <c r="G61" s="655">
        <f t="shared" si="0"/>
        <v>7</v>
      </c>
      <c r="H61" s="658">
        <v>1</v>
      </c>
      <c r="I61" s="658">
        <v>0</v>
      </c>
      <c r="J61" s="658">
        <v>1</v>
      </c>
      <c r="K61" s="658">
        <v>0</v>
      </c>
      <c r="L61" s="658">
        <v>1</v>
      </c>
      <c r="M61" s="658">
        <v>0</v>
      </c>
      <c r="N61" s="658">
        <v>0</v>
      </c>
      <c r="O61" s="658">
        <v>0</v>
      </c>
      <c r="P61" s="658">
        <v>0</v>
      </c>
      <c r="Q61" s="658">
        <v>0</v>
      </c>
      <c r="R61" s="658">
        <v>0</v>
      </c>
      <c r="S61" s="658">
        <v>0</v>
      </c>
      <c r="T61" s="658">
        <v>2</v>
      </c>
      <c r="U61" s="658">
        <v>0</v>
      </c>
      <c r="V61" s="658">
        <v>2</v>
      </c>
      <c r="W61" s="658">
        <v>0</v>
      </c>
      <c r="X61" s="658">
        <v>0</v>
      </c>
      <c r="Y61" s="658">
        <v>0</v>
      </c>
      <c r="Z61" s="658">
        <v>0</v>
      </c>
      <c r="AA61" s="658">
        <v>0</v>
      </c>
      <c r="AB61" s="658">
        <v>0</v>
      </c>
      <c r="AC61" s="658">
        <v>0</v>
      </c>
      <c r="AD61" s="658">
        <v>0</v>
      </c>
      <c r="AE61" s="658">
        <v>0</v>
      </c>
      <c r="AF61" s="658">
        <v>0</v>
      </c>
      <c r="AG61" s="658">
        <v>0</v>
      </c>
      <c r="AH61" s="655">
        <v>5</v>
      </c>
      <c r="AI61" s="655">
        <v>2</v>
      </c>
      <c r="AJ61" s="659" t="s">
        <v>472</v>
      </c>
      <c r="AK61" s="656" t="s">
        <v>427</v>
      </c>
      <c r="AL61" s="656" t="s">
        <v>418</v>
      </c>
      <c r="AM61" s="677" t="s">
        <v>419</v>
      </c>
      <c r="AN61" s="683" t="s">
        <v>449</v>
      </c>
    </row>
    <row r="62" spans="1:40" ht="15.75">
      <c r="A62" s="654" t="s">
        <v>152</v>
      </c>
      <c r="B62" s="656" t="str">
        <f>VLOOKUP(Tabla6[[#This Row],[SEDE]],'Cronog Junio 2026'!B36:C127,2,0)</f>
        <v>Andres Carrillo</v>
      </c>
      <c r="C62" s="656" t="str">
        <f>VLOOKUP(Tabla6[[#This Row],[SEDE]],'Cronog Junio 2026'!B36:G127,6,0)</f>
        <v>MERCADEO</v>
      </c>
      <c r="D62" s="656" t="str">
        <f>VLOOKUP(Tabla6[[#This Row],[SEDE]],'Cronog Junio 2026'!B36:D127,3,0)</f>
        <v>M011900213</v>
      </c>
      <c r="E62" s="657" t="s">
        <v>473</v>
      </c>
      <c r="F62" s="655">
        <v>16</v>
      </c>
      <c r="G62" s="655">
        <f t="shared" si="0"/>
        <v>5</v>
      </c>
      <c r="H62" s="658">
        <v>1</v>
      </c>
      <c r="I62" s="658">
        <v>0</v>
      </c>
      <c r="J62" s="658">
        <v>1</v>
      </c>
      <c r="K62" s="658">
        <v>0</v>
      </c>
      <c r="L62" s="658">
        <v>0</v>
      </c>
      <c r="M62" s="658">
        <v>0</v>
      </c>
      <c r="N62" s="658">
        <v>0</v>
      </c>
      <c r="O62" s="658">
        <v>0</v>
      </c>
      <c r="P62" s="658">
        <v>0</v>
      </c>
      <c r="Q62" s="658">
        <v>0</v>
      </c>
      <c r="R62" s="658">
        <v>0</v>
      </c>
      <c r="S62" s="658">
        <v>0</v>
      </c>
      <c r="T62" s="658">
        <v>3</v>
      </c>
      <c r="U62" s="658">
        <v>0</v>
      </c>
      <c r="V62" s="658">
        <v>0</v>
      </c>
      <c r="W62" s="658">
        <v>0</v>
      </c>
      <c r="X62" s="658">
        <v>0</v>
      </c>
      <c r="Y62" s="658">
        <v>0</v>
      </c>
      <c r="Z62" s="658">
        <v>0</v>
      </c>
      <c r="AA62" s="658">
        <v>0</v>
      </c>
      <c r="AB62" s="658">
        <v>0</v>
      </c>
      <c r="AC62" s="658">
        <v>0</v>
      </c>
      <c r="AD62" s="658">
        <v>0</v>
      </c>
      <c r="AE62" s="658">
        <v>0</v>
      </c>
      <c r="AF62" s="658">
        <v>0</v>
      </c>
      <c r="AG62" s="658">
        <v>0</v>
      </c>
      <c r="AH62" s="655">
        <v>3</v>
      </c>
      <c r="AI62" s="655">
        <v>2</v>
      </c>
      <c r="AJ62" s="659" t="s">
        <v>474</v>
      </c>
      <c r="AK62" s="656" t="s">
        <v>417</v>
      </c>
      <c r="AL62" s="656" t="s">
        <v>418</v>
      </c>
      <c r="AM62" s="677" t="s">
        <v>419</v>
      </c>
      <c r="AN62" s="683" t="s">
        <v>449</v>
      </c>
    </row>
    <row r="63" spans="1:40" ht="15.75">
      <c r="A63" s="654" t="s">
        <v>154</v>
      </c>
      <c r="B63" s="656" t="str">
        <f>VLOOKUP(Tabla6[[#This Row],[SEDE]],'Cronog Junio 2026'!B37:C128,2,0)</f>
        <v>Andres Carrillo</v>
      </c>
      <c r="C63" s="656" t="str">
        <f>VLOOKUP(Tabla6[[#This Row],[SEDE]],'Cronog Junio 2026'!B37:G128,6,0)</f>
        <v>MERCADEO</v>
      </c>
      <c r="D63" s="656" t="str">
        <f>VLOOKUP(Tabla6[[#This Row],[SEDE]],'Cronog Junio 2026'!B37:D128,3,0)</f>
        <v>M010111701</v>
      </c>
      <c r="E63" s="657">
        <v>9</v>
      </c>
      <c r="F63" s="655">
        <v>16</v>
      </c>
      <c r="G63" s="655">
        <f t="shared" si="0"/>
        <v>6</v>
      </c>
      <c r="H63" s="658">
        <v>0</v>
      </c>
      <c r="I63" s="658">
        <v>0</v>
      </c>
      <c r="J63" s="658">
        <v>2</v>
      </c>
      <c r="K63" s="658">
        <v>0</v>
      </c>
      <c r="L63" s="658">
        <v>0</v>
      </c>
      <c r="M63" s="658">
        <v>0</v>
      </c>
      <c r="N63" s="658">
        <v>0</v>
      </c>
      <c r="O63" s="658">
        <v>0</v>
      </c>
      <c r="P63" s="658">
        <v>0</v>
      </c>
      <c r="Q63" s="658">
        <v>0</v>
      </c>
      <c r="R63" s="658">
        <v>0</v>
      </c>
      <c r="S63" s="658">
        <v>0</v>
      </c>
      <c r="T63" s="658">
        <v>2</v>
      </c>
      <c r="U63" s="658">
        <v>0</v>
      </c>
      <c r="V63" s="658">
        <v>1</v>
      </c>
      <c r="W63" s="658">
        <v>0</v>
      </c>
      <c r="X63" s="658">
        <v>1</v>
      </c>
      <c r="Y63" s="658">
        <v>0</v>
      </c>
      <c r="Z63" s="658">
        <v>0</v>
      </c>
      <c r="AA63" s="658">
        <v>0</v>
      </c>
      <c r="AB63" s="658">
        <v>0</v>
      </c>
      <c r="AC63" s="658">
        <v>0</v>
      </c>
      <c r="AD63" s="658">
        <v>0</v>
      </c>
      <c r="AE63" s="658">
        <v>0</v>
      </c>
      <c r="AF63" s="658">
        <v>0</v>
      </c>
      <c r="AG63" s="658">
        <v>0</v>
      </c>
      <c r="AH63" s="655">
        <v>4</v>
      </c>
      <c r="AI63" s="655">
        <v>2</v>
      </c>
      <c r="AJ63" s="659" t="s">
        <v>475</v>
      </c>
      <c r="AK63" s="656" t="s">
        <v>417</v>
      </c>
      <c r="AL63" s="656" t="s">
        <v>418</v>
      </c>
      <c r="AM63" s="677" t="s">
        <v>419</v>
      </c>
      <c r="AN63" s="683" t="s">
        <v>449</v>
      </c>
    </row>
    <row r="64" spans="1:40" ht="15.75">
      <c r="A64" s="654" t="s">
        <v>156</v>
      </c>
      <c r="B64" s="656" t="str">
        <f>VLOOKUP(Tabla6[[#This Row],[SEDE]],'Cronog Junio 2026'!B38:C129,2,0)</f>
        <v>Andres Carrillo</v>
      </c>
      <c r="C64" s="656" t="str">
        <f>VLOOKUP(Tabla6[[#This Row],[SEDE]],'Cronog Junio 2026'!B38:G129,6,0)</f>
        <v>MERCADEO</v>
      </c>
      <c r="D64" s="656" t="str">
        <f>VLOOKUP(Tabla6[[#This Row],[SEDE]],'Cronog Junio 2026'!B38:D129,3,0)</f>
        <v>M011910213</v>
      </c>
      <c r="E64" s="657" t="s">
        <v>473</v>
      </c>
      <c r="F64" s="655">
        <v>16</v>
      </c>
      <c r="G64" s="655">
        <f t="shared" si="0"/>
        <v>10</v>
      </c>
      <c r="H64" s="658">
        <v>1</v>
      </c>
      <c r="I64" s="658">
        <v>0</v>
      </c>
      <c r="J64" s="658">
        <v>2</v>
      </c>
      <c r="K64" s="658">
        <v>0</v>
      </c>
      <c r="L64" s="658">
        <v>3</v>
      </c>
      <c r="M64" s="658">
        <v>0</v>
      </c>
      <c r="N64" s="658">
        <v>0</v>
      </c>
      <c r="O64" s="658">
        <v>0</v>
      </c>
      <c r="P64" s="658">
        <v>0</v>
      </c>
      <c r="Q64" s="658">
        <v>0</v>
      </c>
      <c r="R64" s="658">
        <v>0</v>
      </c>
      <c r="S64" s="658">
        <v>0</v>
      </c>
      <c r="T64" s="658">
        <v>3</v>
      </c>
      <c r="U64" s="658">
        <v>0</v>
      </c>
      <c r="V64" s="658">
        <v>0</v>
      </c>
      <c r="W64" s="658">
        <v>0</v>
      </c>
      <c r="X64" s="658">
        <v>1</v>
      </c>
      <c r="Y64" s="658">
        <v>0</v>
      </c>
      <c r="Z64" s="658">
        <v>0</v>
      </c>
      <c r="AA64" s="658">
        <v>0</v>
      </c>
      <c r="AB64" s="658">
        <v>0</v>
      </c>
      <c r="AC64" s="658">
        <v>0</v>
      </c>
      <c r="AD64" s="658">
        <v>0</v>
      </c>
      <c r="AE64" s="658">
        <v>0</v>
      </c>
      <c r="AF64" s="658">
        <v>0</v>
      </c>
      <c r="AG64" s="658">
        <v>0</v>
      </c>
      <c r="AH64" s="655">
        <v>7</v>
      </c>
      <c r="AI64" s="655">
        <v>3</v>
      </c>
      <c r="AJ64" s="659" t="s">
        <v>476</v>
      </c>
      <c r="AK64" s="656" t="s">
        <v>417</v>
      </c>
      <c r="AL64" s="656" t="s">
        <v>418</v>
      </c>
      <c r="AM64" s="677" t="s">
        <v>419</v>
      </c>
      <c r="AN64" s="683" t="s">
        <v>449</v>
      </c>
    </row>
    <row r="65" spans="1:40" ht="15.75">
      <c r="A65" s="654" t="s">
        <v>158</v>
      </c>
      <c r="B65" s="656" t="str">
        <f>VLOOKUP(Tabla6[[#This Row],[SEDE]],'Cronog Junio 2026'!B39:C130,2,0)</f>
        <v>Andres Carrillo</v>
      </c>
      <c r="C65" s="656" t="str">
        <f>VLOOKUP(Tabla6[[#This Row],[SEDE]],'Cronog Junio 2026'!B39:G130,6,0)</f>
        <v>MERCADEO</v>
      </c>
      <c r="D65" s="656" t="str">
        <f>VLOOKUP(Tabla6[[#This Row],[SEDE]],'Cronog Junio 2026'!B39:D130,3,0)</f>
        <v>M010101701</v>
      </c>
      <c r="E65" s="657">
        <v>19</v>
      </c>
      <c r="F65" s="655">
        <v>16</v>
      </c>
      <c r="G65" s="655">
        <f t="shared" si="0"/>
        <v>10</v>
      </c>
      <c r="H65" s="658">
        <v>0</v>
      </c>
      <c r="I65" s="658">
        <v>0</v>
      </c>
      <c r="J65" s="658">
        <v>2</v>
      </c>
      <c r="K65" s="658">
        <v>0</v>
      </c>
      <c r="L65" s="658">
        <v>1</v>
      </c>
      <c r="M65" s="658">
        <v>0</v>
      </c>
      <c r="N65" s="658">
        <v>0</v>
      </c>
      <c r="O65" s="658">
        <v>0</v>
      </c>
      <c r="P65" s="658">
        <v>0</v>
      </c>
      <c r="Q65" s="658">
        <v>0</v>
      </c>
      <c r="R65" s="658">
        <v>0</v>
      </c>
      <c r="S65" s="658">
        <v>0</v>
      </c>
      <c r="T65" s="658">
        <v>4</v>
      </c>
      <c r="U65" s="658">
        <v>0</v>
      </c>
      <c r="V65" s="658">
        <v>3</v>
      </c>
      <c r="W65" s="658">
        <v>0</v>
      </c>
      <c r="X65" s="658">
        <v>0</v>
      </c>
      <c r="Y65" s="658">
        <v>0</v>
      </c>
      <c r="Z65" s="658">
        <v>0</v>
      </c>
      <c r="AA65" s="658">
        <v>0</v>
      </c>
      <c r="AB65" s="658">
        <v>0</v>
      </c>
      <c r="AC65" s="658">
        <v>0</v>
      </c>
      <c r="AD65" s="658">
        <v>0</v>
      </c>
      <c r="AE65" s="658">
        <v>0</v>
      </c>
      <c r="AF65" s="658">
        <v>0</v>
      </c>
      <c r="AG65" s="658">
        <v>0</v>
      </c>
      <c r="AH65" s="655">
        <v>5</v>
      </c>
      <c r="AI65" s="655">
        <v>5</v>
      </c>
      <c r="AJ65" s="659" t="s">
        <v>477</v>
      </c>
      <c r="AK65" s="656" t="s">
        <v>417</v>
      </c>
      <c r="AL65" s="656" t="s">
        <v>418</v>
      </c>
      <c r="AM65" s="677" t="s">
        <v>419</v>
      </c>
      <c r="AN65" s="683" t="s">
        <v>449</v>
      </c>
    </row>
    <row r="66" spans="1:40" ht="15.75">
      <c r="A66" s="654" t="s">
        <v>160</v>
      </c>
      <c r="B66" s="656" t="str">
        <f>VLOOKUP(Tabla6[[#This Row],[SEDE]],'Cronog Junio 2026'!B40:C131,2,0)</f>
        <v>Andres Carrillo</v>
      </c>
      <c r="C66" s="656" t="str">
        <f>VLOOKUP(Tabla6[[#This Row],[SEDE]],'Cronog Junio 2026'!B40:G131,6,0)</f>
        <v>MERCADEO</v>
      </c>
      <c r="D66" s="656" t="str">
        <f>VLOOKUP(Tabla6[[#This Row],[SEDE]],'Cronog Junio 2026'!B40:D131,3,0)</f>
        <v>M011440213</v>
      </c>
      <c r="E66" s="657">
        <v>20</v>
      </c>
      <c r="F66" s="655">
        <v>16</v>
      </c>
      <c r="G66" s="655">
        <f t="shared" si="0"/>
        <v>8</v>
      </c>
      <c r="H66" s="658">
        <v>1</v>
      </c>
      <c r="I66" s="658">
        <v>0</v>
      </c>
      <c r="J66" s="658">
        <v>3</v>
      </c>
      <c r="K66" s="658">
        <v>0</v>
      </c>
      <c r="L66" s="658">
        <v>0</v>
      </c>
      <c r="M66" s="658">
        <v>0</v>
      </c>
      <c r="N66" s="658">
        <v>1</v>
      </c>
      <c r="O66" s="658">
        <v>0</v>
      </c>
      <c r="P66" s="658">
        <v>0</v>
      </c>
      <c r="Q66" s="658">
        <v>0</v>
      </c>
      <c r="R66" s="658">
        <v>0</v>
      </c>
      <c r="S66" s="658">
        <v>0</v>
      </c>
      <c r="T66" s="658">
        <v>2</v>
      </c>
      <c r="U66" s="658">
        <v>0</v>
      </c>
      <c r="V66" s="658">
        <v>1</v>
      </c>
      <c r="W66" s="658">
        <v>0</v>
      </c>
      <c r="X66" s="658">
        <v>0</v>
      </c>
      <c r="Y66" s="658">
        <v>0</v>
      </c>
      <c r="Z66" s="658">
        <v>0</v>
      </c>
      <c r="AA66" s="658">
        <v>0</v>
      </c>
      <c r="AB66" s="658">
        <v>0</v>
      </c>
      <c r="AC66" s="658">
        <v>0</v>
      </c>
      <c r="AD66" s="658">
        <v>0</v>
      </c>
      <c r="AE66" s="658">
        <v>0</v>
      </c>
      <c r="AF66" s="658">
        <v>0</v>
      </c>
      <c r="AG66" s="658">
        <v>0</v>
      </c>
      <c r="AH66" s="655">
        <v>4</v>
      </c>
      <c r="AI66" s="655">
        <v>4</v>
      </c>
      <c r="AJ66" s="659" t="s">
        <v>478</v>
      </c>
      <c r="AK66" s="656" t="s">
        <v>417</v>
      </c>
      <c r="AL66" s="656" t="s">
        <v>418</v>
      </c>
      <c r="AM66" s="677" t="s">
        <v>419</v>
      </c>
      <c r="AN66" s="683" t="s">
        <v>449</v>
      </c>
    </row>
    <row r="67" spans="1:40" ht="15.75">
      <c r="A67" s="654" t="s">
        <v>162</v>
      </c>
      <c r="B67" s="656" t="str">
        <f>VLOOKUP(Tabla6[[#This Row],[SEDE]],'Cronog Junio 2026'!B41:C132,2,0)</f>
        <v>Andres Carrillo</v>
      </c>
      <c r="C67" s="656" t="str">
        <f>VLOOKUP(Tabla6[[#This Row],[SEDE]],'Cronog Junio 2026'!B41:G132,6,0)</f>
        <v>MERCADEO</v>
      </c>
      <c r="D67" s="656" t="str">
        <f>VLOOKUP(Tabla6[[#This Row],[SEDE]],'Cronog Junio 2026'!B41:D132,3,0)</f>
        <v>M012170213</v>
      </c>
      <c r="E67" s="657" t="s">
        <v>479</v>
      </c>
      <c r="F67" s="655">
        <v>16</v>
      </c>
      <c r="G67" s="655">
        <f t="shared" si="0"/>
        <v>8</v>
      </c>
      <c r="H67" s="658">
        <v>1</v>
      </c>
      <c r="I67" s="658">
        <v>0</v>
      </c>
      <c r="J67" s="658">
        <v>1</v>
      </c>
      <c r="K67" s="658">
        <v>0</v>
      </c>
      <c r="L67" s="658">
        <v>1</v>
      </c>
      <c r="M67" s="658">
        <v>0</v>
      </c>
      <c r="N67" s="658">
        <v>0</v>
      </c>
      <c r="O67" s="658">
        <v>0</v>
      </c>
      <c r="P67" s="658">
        <v>1</v>
      </c>
      <c r="Q67" s="658">
        <v>0</v>
      </c>
      <c r="R67" s="658">
        <v>0</v>
      </c>
      <c r="S67" s="658">
        <v>0</v>
      </c>
      <c r="T67" s="658">
        <v>2</v>
      </c>
      <c r="U67" s="658">
        <v>0</v>
      </c>
      <c r="V67" s="658">
        <v>0</v>
      </c>
      <c r="W67" s="658">
        <v>0</v>
      </c>
      <c r="X67" s="658">
        <v>0</v>
      </c>
      <c r="Y67" s="658">
        <v>0</v>
      </c>
      <c r="Z67" s="658">
        <v>0</v>
      </c>
      <c r="AA67" s="658">
        <v>0</v>
      </c>
      <c r="AB67" s="658">
        <v>0</v>
      </c>
      <c r="AC67" s="658">
        <v>0</v>
      </c>
      <c r="AD67" s="658">
        <v>2</v>
      </c>
      <c r="AE67" s="658">
        <v>0</v>
      </c>
      <c r="AF67" s="658">
        <v>0</v>
      </c>
      <c r="AG67" s="658">
        <v>0</v>
      </c>
      <c r="AH67" s="655">
        <v>5</v>
      </c>
      <c r="AI67" s="655">
        <v>3</v>
      </c>
      <c r="AJ67" s="659" t="s">
        <v>480</v>
      </c>
      <c r="AK67" s="656" t="s">
        <v>427</v>
      </c>
      <c r="AL67" s="656" t="s">
        <v>418</v>
      </c>
      <c r="AM67" s="677" t="s">
        <v>419</v>
      </c>
      <c r="AN67" s="683" t="s">
        <v>449</v>
      </c>
    </row>
    <row r="68" spans="1:40" ht="15.75">
      <c r="A68" s="654" t="s">
        <v>164</v>
      </c>
      <c r="B68" s="656" t="str">
        <f>VLOOKUP(Tabla6[[#This Row],[SEDE]],'Cronog Junio 2026'!B42:C133,2,0)</f>
        <v>Andres Carrillo</v>
      </c>
      <c r="C68" s="656" t="str">
        <f>VLOOKUP(Tabla6[[#This Row],[SEDE]],'Cronog Junio 2026'!B42:G133,6,0)</f>
        <v>MERCADEO</v>
      </c>
      <c r="D68" s="656" t="str">
        <f>VLOOKUP(Tabla6[[#This Row],[SEDE]],'Cronog Junio 2026'!B42:D133,3,0)</f>
        <v>M010500213</v>
      </c>
      <c r="E68" s="657" t="s">
        <v>166</v>
      </c>
      <c r="F68" s="655">
        <v>16</v>
      </c>
      <c r="G68" s="655">
        <f t="shared" si="0"/>
        <v>7</v>
      </c>
      <c r="H68" s="658">
        <v>0</v>
      </c>
      <c r="I68" s="658">
        <v>0</v>
      </c>
      <c r="J68" s="658">
        <v>1</v>
      </c>
      <c r="K68" s="658">
        <v>0</v>
      </c>
      <c r="L68" s="658">
        <v>1</v>
      </c>
      <c r="M68" s="658">
        <v>0</v>
      </c>
      <c r="N68" s="658">
        <v>0</v>
      </c>
      <c r="O68" s="658">
        <v>0</v>
      </c>
      <c r="P68" s="658">
        <v>0</v>
      </c>
      <c r="Q68" s="658">
        <v>0</v>
      </c>
      <c r="R68" s="658">
        <v>2</v>
      </c>
      <c r="S68" s="658">
        <v>0</v>
      </c>
      <c r="T68" s="658">
        <v>3</v>
      </c>
      <c r="U68" s="658">
        <v>0</v>
      </c>
      <c r="V68" s="658">
        <v>0</v>
      </c>
      <c r="W68" s="658">
        <v>0</v>
      </c>
      <c r="X68" s="658">
        <v>0</v>
      </c>
      <c r="Y68" s="658">
        <v>0</v>
      </c>
      <c r="Z68" s="658">
        <v>0</v>
      </c>
      <c r="AA68" s="658">
        <v>0</v>
      </c>
      <c r="AB68" s="658">
        <v>0</v>
      </c>
      <c r="AC68" s="658">
        <v>0</v>
      </c>
      <c r="AD68" s="658">
        <v>0</v>
      </c>
      <c r="AE68" s="658">
        <v>0</v>
      </c>
      <c r="AF68" s="658">
        <v>0</v>
      </c>
      <c r="AG68" s="658">
        <v>0</v>
      </c>
      <c r="AH68" s="655">
        <v>4</v>
      </c>
      <c r="AI68" s="655">
        <v>3</v>
      </c>
      <c r="AJ68" s="659" t="s">
        <v>481</v>
      </c>
      <c r="AK68" s="656" t="s">
        <v>417</v>
      </c>
      <c r="AL68" s="656" t="s">
        <v>418</v>
      </c>
      <c r="AM68" s="677" t="s">
        <v>419</v>
      </c>
      <c r="AN68" s="683" t="s">
        <v>449</v>
      </c>
    </row>
    <row r="69" spans="1:40" ht="15.75">
      <c r="A69" s="634" t="s">
        <v>167</v>
      </c>
      <c r="B69" s="629" t="str">
        <f>VLOOKUP(Tabla6[[#This Row],[SEDE]],'Cronog Junio 2026'!B43:C134,2,0)</f>
        <v>Andres Carrillo</v>
      </c>
      <c r="C69" s="629" t="str">
        <f>VLOOKUP(Tabla6[[#This Row],[SEDE]],'Cronog Junio 2026'!B43:G134,6,0)</f>
        <v>MERCADEO</v>
      </c>
      <c r="D69" s="629" t="str">
        <f>VLOOKUP(Tabla6[[#This Row],[SEDE]],'Cronog Junio 2026'!B43:D134,3,0)</f>
        <v>M011380213</v>
      </c>
      <c r="E69" s="630">
        <v>10</v>
      </c>
      <c r="F69" s="631">
        <v>16</v>
      </c>
      <c r="G69" s="655">
        <f t="shared" si="0"/>
        <v>5</v>
      </c>
      <c r="H69" s="632">
        <v>1</v>
      </c>
      <c r="I69" s="632">
        <v>0</v>
      </c>
      <c r="J69" s="632">
        <v>1</v>
      </c>
      <c r="K69" s="632">
        <v>0</v>
      </c>
      <c r="L69" s="632">
        <v>0</v>
      </c>
      <c r="M69" s="632">
        <v>0</v>
      </c>
      <c r="N69" s="632">
        <v>0</v>
      </c>
      <c r="O69" s="632">
        <v>0</v>
      </c>
      <c r="P69" s="632">
        <v>0</v>
      </c>
      <c r="Q69" s="632">
        <v>0</v>
      </c>
      <c r="R69" s="632">
        <v>0</v>
      </c>
      <c r="S69" s="632">
        <v>0</v>
      </c>
      <c r="T69" s="632">
        <v>2</v>
      </c>
      <c r="U69" s="632">
        <v>0</v>
      </c>
      <c r="V69" s="632">
        <v>1</v>
      </c>
      <c r="W69" s="632">
        <v>0</v>
      </c>
      <c r="X69" s="632">
        <v>0</v>
      </c>
      <c r="Y69" s="632">
        <v>0</v>
      </c>
      <c r="Z69" s="632">
        <v>0</v>
      </c>
      <c r="AA69" s="632">
        <v>0</v>
      </c>
      <c r="AB69" s="632">
        <v>0</v>
      </c>
      <c r="AC69" s="632">
        <v>0</v>
      </c>
      <c r="AD69" s="632">
        <v>0</v>
      </c>
      <c r="AE69" s="632">
        <v>0</v>
      </c>
      <c r="AF69" s="632">
        <v>0</v>
      </c>
      <c r="AG69" s="632">
        <v>0</v>
      </c>
      <c r="AH69" s="631">
        <v>3</v>
      </c>
      <c r="AI69" s="631">
        <v>2</v>
      </c>
      <c r="AJ69" s="633" t="s">
        <v>482</v>
      </c>
      <c r="AK69" s="629" t="s">
        <v>417</v>
      </c>
      <c r="AL69" s="629" t="s">
        <v>418</v>
      </c>
      <c r="AM69" s="677" t="s">
        <v>419</v>
      </c>
      <c r="AN69" s="683" t="s">
        <v>449</v>
      </c>
    </row>
    <row r="70" spans="1:40" ht="15.75">
      <c r="A70" s="654" t="s">
        <v>169</v>
      </c>
      <c r="B70" s="656" t="str">
        <f>VLOOKUP(Tabla6[[#This Row],[SEDE]],'Cronog Junio 2026'!B44:C135,2,0)</f>
        <v>Andres Carrillo</v>
      </c>
      <c r="C70" s="656" t="str">
        <f>VLOOKUP(Tabla6[[#This Row],[SEDE]],'Cronog Junio 2026'!B44:G135,6,0)</f>
        <v>MERCADEO</v>
      </c>
      <c r="D70" s="656" t="str">
        <f>VLOOKUP(Tabla6[[#This Row],[SEDE]],'Cronog Junio 2026'!B44:D135,3,0)</f>
        <v>M010520213</v>
      </c>
      <c r="E70" s="657" t="s">
        <v>171</v>
      </c>
      <c r="F70" s="655">
        <v>16</v>
      </c>
      <c r="G70" s="655">
        <f t="shared" si="0"/>
        <v>11</v>
      </c>
      <c r="H70" s="658">
        <v>0</v>
      </c>
      <c r="I70" s="658">
        <v>0</v>
      </c>
      <c r="J70" s="658">
        <v>3</v>
      </c>
      <c r="K70" s="658">
        <v>0</v>
      </c>
      <c r="L70" s="658">
        <v>1</v>
      </c>
      <c r="M70" s="658">
        <v>0</v>
      </c>
      <c r="N70" s="658">
        <v>0</v>
      </c>
      <c r="O70" s="658">
        <v>0</v>
      </c>
      <c r="P70" s="658">
        <v>0</v>
      </c>
      <c r="Q70" s="658">
        <v>0</v>
      </c>
      <c r="R70" s="658">
        <v>0</v>
      </c>
      <c r="S70" s="658">
        <v>0</v>
      </c>
      <c r="T70" s="658">
        <v>2</v>
      </c>
      <c r="U70" s="658">
        <v>0</v>
      </c>
      <c r="V70" s="658">
        <v>2</v>
      </c>
      <c r="W70" s="658">
        <v>0</v>
      </c>
      <c r="X70" s="658">
        <v>3</v>
      </c>
      <c r="Y70" s="658">
        <v>0</v>
      </c>
      <c r="Z70" s="658">
        <v>0</v>
      </c>
      <c r="AA70" s="658">
        <v>0</v>
      </c>
      <c r="AB70" s="658">
        <v>0</v>
      </c>
      <c r="AC70" s="658">
        <v>0</v>
      </c>
      <c r="AD70" s="658">
        <v>0</v>
      </c>
      <c r="AE70" s="658">
        <v>0</v>
      </c>
      <c r="AF70" s="658">
        <v>0</v>
      </c>
      <c r="AG70" s="658">
        <v>0</v>
      </c>
      <c r="AH70" s="655">
        <v>9</v>
      </c>
      <c r="AI70" s="655">
        <v>2</v>
      </c>
      <c r="AJ70" s="659" t="s">
        <v>483</v>
      </c>
      <c r="AK70" s="656" t="s">
        <v>417</v>
      </c>
      <c r="AL70" s="656" t="s">
        <v>418</v>
      </c>
      <c r="AM70" s="677" t="s">
        <v>419</v>
      </c>
      <c r="AN70" s="683" t="s">
        <v>449</v>
      </c>
    </row>
    <row r="71" spans="1:40" ht="15.75">
      <c r="A71" s="654" t="s">
        <v>172</v>
      </c>
      <c r="B71" s="656" t="str">
        <f>VLOOKUP(Tabla6[[#This Row],[SEDE]],'Cronog Junio 2026'!B45:C136,2,0)</f>
        <v>Andres Carrillo</v>
      </c>
      <c r="C71" s="656" t="str">
        <f>VLOOKUP(Tabla6[[#This Row],[SEDE]],'Cronog Junio 2026'!B45:G136,6,0)</f>
        <v>MERCADEO</v>
      </c>
      <c r="D71" s="656" t="str">
        <f>VLOOKUP(Tabla6[[#This Row],[SEDE]],'Cronog Junio 2026'!B45:D136,3,0)</f>
        <v>M011860213</v>
      </c>
      <c r="E71" s="657">
        <v>12</v>
      </c>
      <c r="F71" s="655">
        <v>16</v>
      </c>
      <c r="G71" s="655">
        <f t="shared" si="0"/>
        <v>7</v>
      </c>
      <c r="H71" s="658">
        <v>1</v>
      </c>
      <c r="I71" s="658">
        <v>0</v>
      </c>
      <c r="J71" s="658">
        <v>1</v>
      </c>
      <c r="K71" s="658">
        <v>0</v>
      </c>
      <c r="L71" s="658">
        <v>0</v>
      </c>
      <c r="M71" s="658">
        <v>0</v>
      </c>
      <c r="N71" s="658">
        <v>0</v>
      </c>
      <c r="O71" s="658">
        <v>0</v>
      </c>
      <c r="P71" s="658">
        <v>0</v>
      </c>
      <c r="Q71" s="658">
        <v>0</v>
      </c>
      <c r="R71" s="658">
        <v>0</v>
      </c>
      <c r="S71" s="658">
        <v>0</v>
      </c>
      <c r="T71" s="658">
        <v>3</v>
      </c>
      <c r="U71" s="658">
        <v>0</v>
      </c>
      <c r="V71" s="658">
        <v>2</v>
      </c>
      <c r="W71" s="658">
        <v>0</v>
      </c>
      <c r="X71" s="658">
        <v>0</v>
      </c>
      <c r="Y71" s="658">
        <v>0</v>
      </c>
      <c r="Z71" s="658">
        <v>0</v>
      </c>
      <c r="AA71" s="658">
        <v>0</v>
      </c>
      <c r="AB71" s="658">
        <v>0</v>
      </c>
      <c r="AC71" s="658">
        <v>0</v>
      </c>
      <c r="AD71" s="658">
        <v>0</v>
      </c>
      <c r="AE71" s="658">
        <v>0</v>
      </c>
      <c r="AF71" s="658">
        <v>0</v>
      </c>
      <c r="AG71" s="658">
        <v>0</v>
      </c>
      <c r="AH71" s="655">
        <v>5</v>
      </c>
      <c r="AI71" s="655">
        <v>2</v>
      </c>
      <c r="AJ71" s="659" t="s">
        <v>484</v>
      </c>
      <c r="AK71" s="656" t="s">
        <v>417</v>
      </c>
      <c r="AL71" s="656" t="s">
        <v>418</v>
      </c>
      <c r="AM71" s="677" t="s">
        <v>419</v>
      </c>
      <c r="AN71" s="683" t="s">
        <v>449</v>
      </c>
    </row>
    <row r="72" spans="1:40" ht="15.75">
      <c r="A72" s="654" t="s">
        <v>174</v>
      </c>
      <c r="B72" s="656" t="str">
        <f>VLOOKUP(Tabla6[[#This Row],[SEDE]],'Cronog Junio 2026'!B46:C137,2,0)</f>
        <v>Andres Carrillo</v>
      </c>
      <c r="C72" s="656" t="str">
        <f>VLOOKUP(Tabla6[[#This Row],[SEDE]],'Cronog Junio 2026'!B46:G137,6,0)</f>
        <v>SALUD</v>
      </c>
      <c r="D72" s="656" t="str">
        <f>VLOOKUP(Tabla6[[#This Row],[SEDE]],'Cronog Junio 2026'!B46:D137,3,0)</f>
        <v>S010110205</v>
      </c>
      <c r="E72" s="657" t="s">
        <v>485</v>
      </c>
      <c r="F72" s="655">
        <v>180</v>
      </c>
      <c r="G72" s="655">
        <f t="shared" si="0"/>
        <v>49</v>
      </c>
      <c r="H72" s="658">
        <v>1</v>
      </c>
      <c r="I72" s="658">
        <v>0</v>
      </c>
      <c r="J72" s="658">
        <v>0</v>
      </c>
      <c r="K72" s="658">
        <v>0</v>
      </c>
      <c r="L72" s="658">
        <v>6</v>
      </c>
      <c r="M72" s="658">
        <v>0</v>
      </c>
      <c r="N72" s="658">
        <v>4</v>
      </c>
      <c r="O72" s="658">
        <v>0</v>
      </c>
      <c r="P72" s="658">
        <v>1</v>
      </c>
      <c r="Q72" s="658">
        <v>0</v>
      </c>
      <c r="R72" s="658">
        <v>4</v>
      </c>
      <c r="S72" s="658">
        <v>0</v>
      </c>
      <c r="T72" s="658">
        <v>2</v>
      </c>
      <c r="U72" s="658">
        <v>0</v>
      </c>
      <c r="V72" s="658">
        <v>4</v>
      </c>
      <c r="W72" s="658">
        <v>0</v>
      </c>
      <c r="X72" s="658">
        <v>18</v>
      </c>
      <c r="Y72" s="658">
        <v>0</v>
      </c>
      <c r="Z72" s="658">
        <v>0</v>
      </c>
      <c r="AA72" s="658">
        <v>0</v>
      </c>
      <c r="AB72" s="658">
        <v>7</v>
      </c>
      <c r="AC72" s="658">
        <v>0</v>
      </c>
      <c r="AD72" s="658">
        <v>1</v>
      </c>
      <c r="AE72" s="658">
        <v>0</v>
      </c>
      <c r="AF72" s="658">
        <v>1</v>
      </c>
      <c r="AG72" s="658">
        <v>0</v>
      </c>
      <c r="AH72" s="655">
        <v>31</v>
      </c>
      <c r="AI72" s="655">
        <v>18</v>
      </c>
      <c r="AJ72" s="659" t="s">
        <v>486</v>
      </c>
      <c r="AK72" s="656" t="s">
        <v>417</v>
      </c>
      <c r="AL72" s="656" t="s">
        <v>418</v>
      </c>
      <c r="AM72" s="677" t="s">
        <v>419</v>
      </c>
      <c r="AN72" s="683" t="s">
        <v>433</v>
      </c>
    </row>
    <row r="73" spans="1:40" ht="15.75">
      <c r="A73" s="654" t="s">
        <v>177</v>
      </c>
      <c r="B73" s="656" t="str">
        <f>VLOOKUP(Tabla6[[#This Row],[SEDE]],'Cronog Junio 2026'!B47:C138,2,0)</f>
        <v>Andres Carrillo</v>
      </c>
      <c r="C73" s="656" t="str">
        <f>VLOOKUP(Tabla6[[#This Row],[SEDE]],'Cronog Junio 2026'!B47:G138,6,0)</f>
        <v>SALUD</v>
      </c>
      <c r="D73" s="656" t="str">
        <f>VLOOKUP(Tabla6[[#This Row],[SEDE]],'Cronog Junio 2026'!B47:D138,3,0)</f>
        <v>S011460205</v>
      </c>
      <c r="E73" s="657" t="s">
        <v>179</v>
      </c>
      <c r="F73" s="655">
        <v>88</v>
      </c>
      <c r="G73" s="655">
        <f>+H73+J73+L73+N73+P73+R73+T73+V73+X73+Z73+AB73+AD73+AF73</f>
        <v>16</v>
      </c>
      <c r="H73" s="658">
        <v>1</v>
      </c>
      <c r="I73" s="658">
        <v>0</v>
      </c>
      <c r="J73" s="658">
        <v>2</v>
      </c>
      <c r="K73" s="658">
        <v>0</v>
      </c>
      <c r="L73" s="658">
        <v>2</v>
      </c>
      <c r="M73" s="658">
        <v>0</v>
      </c>
      <c r="N73" s="658">
        <v>0</v>
      </c>
      <c r="O73" s="658">
        <v>0</v>
      </c>
      <c r="P73" s="658">
        <v>0</v>
      </c>
      <c r="Q73" s="658">
        <v>0</v>
      </c>
      <c r="R73" s="658">
        <v>2</v>
      </c>
      <c r="S73" s="658">
        <v>0</v>
      </c>
      <c r="T73" s="658">
        <v>2</v>
      </c>
      <c r="U73" s="658">
        <v>0</v>
      </c>
      <c r="V73" s="658">
        <v>3</v>
      </c>
      <c r="W73" s="658">
        <v>0</v>
      </c>
      <c r="X73" s="658">
        <v>4</v>
      </c>
      <c r="Y73" s="658">
        <v>0</v>
      </c>
      <c r="Z73" s="658">
        <v>0</v>
      </c>
      <c r="AA73" s="658">
        <v>0</v>
      </c>
      <c r="AB73" s="658">
        <v>0</v>
      </c>
      <c r="AC73" s="658">
        <v>0</v>
      </c>
      <c r="AD73" s="658">
        <v>0</v>
      </c>
      <c r="AE73" s="658">
        <v>0</v>
      </c>
      <c r="AF73" s="658">
        <v>0</v>
      </c>
      <c r="AG73" s="658">
        <v>0</v>
      </c>
      <c r="AH73" s="655">
        <v>10</v>
      </c>
      <c r="AI73" s="655">
        <v>6</v>
      </c>
      <c r="AJ73" s="659" t="s">
        <v>487</v>
      </c>
      <c r="AK73" s="656" t="s">
        <v>427</v>
      </c>
      <c r="AL73" s="656" t="s">
        <v>419</v>
      </c>
      <c r="AM73" s="677" t="s">
        <v>419</v>
      </c>
      <c r="AN73" s="683" t="s">
        <v>433</v>
      </c>
    </row>
    <row r="74" spans="1:40" ht="15.75">
      <c r="A74" s="634" t="s">
        <v>180</v>
      </c>
      <c r="B74" s="629" t="str">
        <f>VLOOKUP(Tabla6[[#This Row],[SEDE]],'Cronog Junio 2026'!B48:C139,2,0)</f>
        <v>Andres Carrillo</v>
      </c>
      <c r="C74" s="629" t="str">
        <f>VLOOKUP(Tabla6[[#This Row],[SEDE]],'Cronog Junio 2026'!B48:G139,6,0)</f>
        <v>EDUCACION</v>
      </c>
      <c r="D74" s="629" t="str">
        <f>VLOOKUP(Tabla6[[#This Row],[SEDE]],'Cronog Junio 2026'!B48:D139,3,0)</f>
        <v>E010060205</v>
      </c>
      <c r="E74" s="630"/>
      <c r="F74" s="631"/>
      <c r="G74" s="655">
        <f>+H74+J74+L74+N74+P74+R74+T74+V74+X74+Z74+AB74+AD74+AF74</f>
        <v>0</v>
      </c>
      <c r="H74" s="632"/>
      <c r="I74" s="632"/>
      <c r="J74" s="632"/>
      <c r="K74" s="632"/>
      <c r="L74" s="632"/>
      <c r="M74" s="632"/>
      <c r="N74" s="632"/>
      <c r="O74" s="632"/>
      <c r="P74" s="632"/>
      <c r="Q74" s="632"/>
      <c r="R74" s="632"/>
      <c r="S74" s="632"/>
      <c r="T74" s="632"/>
      <c r="U74" s="632"/>
      <c r="V74" s="632"/>
      <c r="W74" s="632"/>
      <c r="X74" s="632"/>
      <c r="Y74" s="632"/>
      <c r="Z74" s="632"/>
      <c r="AA74" s="632"/>
      <c r="AB74" s="632"/>
      <c r="AC74" s="632"/>
      <c r="AD74" s="632"/>
      <c r="AE74" s="632"/>
      <c r="AF74" s="632"/>
      <c r="AG74" s="632"/>
      <c r="AH74" s="631"/>
      <c r="AI74" s="631"/>
      <c r="AJ74" s="633"/>
      <c r="AK74" s="629"/>
      <c r="AL74" s="629"/>
      <c r="AM74" s="629"/>
      <c r="AN74" s="683" t="s">
        <v>428</v>
      </c>
    </row>
    <row r="75" spans="1:40" ht="15.75">
      <c r="A75" s="642" t="s">
        <v>182</v>
      </c>
      <c r="B75" s="212" t="str">
        <f>VLOOKUP(Tabla6[[#This Row],[SEDE]],'Cronog Junio 2026'!B49:C140,2,0)</f>
        <v>Andres Carrillo</v>
      </c>
      <c r="C75" s="212" t="str">
        <f>VLOOKUP(Tabla6[[#This Row],[SEDE]],'Cronog Junio 2026'!B49:G140,6,0)</f>
        <v>EDUCACION</v>
      </c>
      <c r="D75" s="212" t="str">
        <f>VLOOKUP(Tabla6[[#This Row],[SEDE]],'Cronog Junio 2026'!B49:D140,3,0)</f>
        <v>E010200205</v>
      </c>
      <c r="E75" s="213"/>
      <c r="F75" s="216"/>
      <c r="G75" s="655">
        <f>+H75+J75+L75+N75+P75+R75+T75+V75+X75+Z75+AB75+AD75+AF75</f>
        <v>0</v>
      </c>
      <c r="H75" s="215"/>
      <c r="I75" s="215"/>
      <c r="J75" s="215"/>
      <c r="K75" s="215"/>
      <c r="L75" s="215"/>
      <c r="M75" s="215"/>
      <c r="N75" s="215"/>
      <c r="O75" s="215"/>
      <c r="P75" s="215"/>
      <c r="Q75" s="215"/>
      <c r="R75" s="215"/>
      <c r="S75" s="215"/>
      <c r="T75" s="215"/>
      <c r="U75" s="215"/>
      <c r="V75" s="215"/>
      <c r="W75" s="215"/>
      <c r="X75" s="215"/>
      <c r="Y75" s="215"/>
      <c r="Z75" s="215"/>
      <c r="AA75" s="215"/>
      <c r="AB75" s="215"/>
      <c r="AC75" s="215"/>
      <c r="AD75" s="215"/>
      <c r="AE75" s="215"/>
      <c r="AF75" s="215"/>
      <c r="AG75" s="215"/>
      <c r="AH75" s="216"/>
      <c r="AI75" s="216"/>
      <c r="AJ75" s="214"/>
      <c r="AK75" s="629"/>
      <c r="AL75" s="629"/>
      <c r="AM75" s="629"/>
      <c r="AN75" s="683" t="s">
        <v>428</v>
      </c>
    </row>
    <row r="76" spans="1:40" s="652" customFormat="1" ht="15.75">
      <c r="A76" s="643"/>
      <c r="B76" s="644"/>
      <c r="C76" s="644"/>
      <c r="D76" s="644"/>
      <c r="E76" s="645"/>
      <c r="F76" s="646"/>
      <c r="G76" s="646"/>
      <c r="H76" s="647"/>
      <c r="I76" s="647"/>
      <c r="J76" s="647"/>
      <c r="K76" s="647"/>
      <c r="L76" s="647"/>
      <c r="M76" s="647"/>
      <c r="N76" s="647"/>
      <c r="O76" s="647"/>
      <c r="P76" s="647"/>
      <c r="Q76" s="647"/>
      <c r="R76" s="647"/>
      <c r="S76" s="647"/>
      <c r="T76" s="647"/>
      <c r="U76" s="647"/>
      <c r="V76" s="647"/>
      <c r="W76" s="647"/>
      <c r="X76" s="647"/>
      <c r="Y76" s="647"/>
      <c r="Z76" s="647"/>
      <c r="AA76" s="647"/>
      <c r="AB76" s="647"/>
      <c r="AC76" s="647"/>
      <c r="AD76" s="647"/>
      <c r="AE76" s="647"/>
      <c r="AF76" s="647"/>
      <c r="AG76" s="647"/>
      <c r="AH76" s="646"/>
      <c r="AI76" s="646"/>
      <c r="AJ76" s="648"/>
      <c r="AK76" s="629"/>
      <c r="AL76" s="629"/>
      <c r="AM76" s="629"/>
      <c r="AN76" s="683"/>
    </row>
    <row r="77" spans="1:40" ht="15.75">
      <c r="A77" s="654" t="s">
        <v>185</v>
      </c>
      <c r="B77" s="656" t="s">
        <v>488</v>
      </c>
      <c r="C77" s="656" t="str">
        <f>VLOOKUP(Tabla6[[#This Row],[SEDE]],'Cronog Junio 2026'!B50:G141,6,0)</f>
        <v>EDUCACION</v>
      </c>
      <c r="D77" s="656" t="str">
        <f>VLOOKUP(Tabla6[[#This Row],[SEDE]],'Cronog Junio 2026'!B50:D141,3,0)</f>
        <v>E030020205</v>
      </c>
      <c r="E77" s="657" t="s">
        <v>415</v>
      </c>
      <c r="F77" s="655">
        <v>88</v>
      </c>
      <c r="G77" s="631">
        <f>+H77+J77+L77+N77+P77+R77+T77+V77+X77+Z77+AB77+AD77+AF77</f>
        <v>18</v>
      </c>
      <c r="H77" s="658">
        <v>0</v>
      </c>
      <c r="I77" s="658">
        <v>0</v>
      </c>
      <c r="J77" s="658">
        <v>0</v>
      </c>
      <c r="K77" s="658">
        <v>0</v>
      </c>
      <c r="L77" s="658">
        <v>9</v>
      </c>
      <c r="M77" s="658">
        <v>0</v>
      </c>
      <c r="N77" s="658">
        <v>0</v>
      </c>
      <c r="O77" s="658">
        <v>0</v>
      </c>
      <c r="P77" s="658">
        <v>2</v>
      </c>
      <c r="Q77" s="658">
        <v>0</v>
      </c>
      <c r="R77" s="658">
        <v>2</v>
      </c>
      <c r="S77" s="658">
        <v>0</v>
      </c>
      <c r="T77" s="658">
        <v>0</v>
      </c>
      <c r="U77" s="658">
        <v>0</v>
      </c>
      <c r="V77" s="658">
        <v>0</v>
      </c>
      <c r="W77" s="658">
        <v>0</v>
      </c>
      <c r="X77" s="658">
        <v>4</v>
      </c>
      <c r="Y77" s="658">
        <v>0</v>
      </c>
      <c r="Z77" s="658">
        <v>0</v>
      </c>
      <c r="AA77" s="658">
        <v>0</v>
      </c>
      <c r="AB77" s="658">
        <v>1</v>
      </c>
      <c r="AC77" s="658">
        <v>0</v>
      </c>
      <c r="AD77" s="658">
        <v>0</v>
      </c>
      <c r="AE77" s="658">
        <v>0</v>
      </c>
      <c r="AF77" s="658">
        <v>0</v>
      </c>
      <c r="AG77" s="658">
        <v>0</v>
      </c>
      <c r="AH77" s="655">
        <v>10</v>
      </c>
      <c r="AI77" s="655">
        <v>8</v>
      </c>
      <c r="AJ77" s="659" t="s">
        <v>489</v>
      </c>
      <c r="AK77" s="656" t="s">
        <v>427</v>
      </c>
      <c r="AL77" s="656" t="s">
        <v>419</v>
      </c>
      <c r="AM77" s="677" t="s">
        <v>419</v>
      </c>
      <c r="AN77" s="683" t="s">
        <v>490</v>
      </c>
    </row>
    <row r="78" spans="1:40" ht="15.75">
      <c r="A78" s="634"/>
      <c r="B78" s="629" t="s">
        <v>488</v>
      </c>
      <c r="C78" s="629"/>
      <c r="D78" s="629"/>
      <c r="E78" s="630" t="s">
        <v>421</v>
      </c>
      <c r="F78" s="631">
        <v>72</v>
      </c>
      <c r="G78" s="631">
        <f>+H78+J78+L78+N78+P78+R78+T78+V78+X78+Z78+AB78+AD78+AF78</f>
        <v>20</v>
      </c>
      <c r="H78" s="632">
        <v>2</v>
      </c>
      <c r="I78" s="632">
        <v>0</v>
      </c>
      <c r="J78" s="632">
        <v>2</v>
      </c>
      <c r="K78" s="632">
        <v>0</v>
      </c>
      <c r="L78" s="632">
        <v>5</v>
      </c>
      <c r="M78" s="632">
        <v>0</v>
      </c>
      <c r="N78" s="632">
        <v>0</v>
      </c>
      <c r="O78" s="632">
        <v>0</v>
      </c>
      <c r="P78" s="632">
        <v>2</v>
      </c>
      <c r="Q78" s="632">
        <v>0</v>
      </c>
      <c r="R78" s="632">
        <v>3</v>
      </c>
      <c r="S78" s="632">
        <v>0</v>
      </c>
      <c r="T78" s="632">
        <v>0</v>
      </c>
      <c r="U78" s="632">
        <v>0</v>
      </c>
      <c r="V78" s="632">
        <v>0</v>
      </c>
      <c r="W78" s="632">
        <v>0</v>
      </c>
      <c r="X78" s="632">
        <v>5</v>
      </c>
      <c r="Y78" s="632">
        <v>0</v>
      </c>
      <c r="Z78" s="632">
        <v>0</v>
      </c>
      <c r="AA78" s="632">
        <v>0</v>
      </c>
      <c r="AB78" s="632">
        <v>1</v>
      </c>
      <c r="AC78" s="632">
        <v>0</v>
      </c>
      <c r="AD78" s="632">
        <v>0</v>
      </c>
      <c r="AE78" s="632">
        <v>0</v>
      </c>
      <c r="AF78" s="632">
        <v>0</v>
      </c>
      <c r="AG78" s="632">
        <v>0</v>
      </c>
      <c r="AH78" s="631">
        <v>10</v>
      </c>
      <c r="AI78" s="631">
        <v>10</v>
      </c>
      <c r="AJ78" s="633" t="s">
        <v>491</v>
      </c>
      <c r="AK78" s="656" t="s">
        <v>427</v>
      </c>
      <c r="AL78" s="656" t="s">
        <v>419</v>
      </c>
      <c r="AM78" s="677" t="s">
        <v>419</v>
      </c>
      <c r="AN78" s="683"/>
    </row>
    <row r="79" spans="1:40" ht="15.75">
      <c r="A79" s="634"/>
      <c r="B79" s="629"/>
      <c r="C79" s="629"/>
      <c r="D79" s="629"/>
      <c r="E79" s="630" t="s">
        <v>439</v>
      </c>
      <c r="F79" s="631">
        <v>72</v>
      </c>
      <c r="G79" s="631">
        <f>+H79+J79+L79+N79+P79+R79+T79+V79+X79+Z79+AB79+AD79+AF79</f>
        <v>14</v>
      </c>
      <c r="H79" s="631">
        <v>1</v>
      </c>
      <c r="I79" s="631">
        <v>0</v>
      </c>
      <c r="J79" s="631">
        <v>1</v>
      </c>
      <c r="K79" s="631">
        <v>0</v>
      </c>
      <c r="L79" s="631">
        <v>3</v>
      </c>
      <c r="M79" s="631">
        <v>0</v>
      </c>
      <c r="N79" s="631">
        <v>0</v>
      </c>
      <c r="O79" s="631">
        <v>0</v>
      </c>
      <c r="P79" s="631">
        <v>0</v>
      </c>
      <c r="Q79" s="631">
        <v>0</v>
      </c>
      <c r="R79" s="631">
        <v>4</v>
      </c>
      <c r="S79" s="631">
        <v>0</v>
      </c>
      <c r="T79" s="631">
        <v>0</v>
      </c>
      <c r="U79" s="631">
        <v>0</v>
      </c>
      <c r="V79" s="631">
        <v>2</v>
      </c>
      <c r="W79" s="631">
        <v>0</v>
      </c>
      <c r="X79" s="631">
        <v>1</v>
      </c>
      <c r="Y79" s="631">
        <v>0</v>
      </c>
      <c r="Z79" s="631">
        <v>0</v>
      </c>
      <c r="AA79" s="631">
        <v>0</v>
      </c>
      <c r="AB79" s="631">
        <v>2</v>
      </c>
      <c r="AC79" s="631">
        <v>0</v>
      </c>
      <c r="AD79" s="631">
        <v>0</v>
      </c>
      <c r="AE79" s="631">
        <v>0</v>
      </c>
      <c r="AF79" s="631">
        <v>0</v>
      </c>
      <c r="AG79" s="631">
        <v>0</v>
      </c>
      <c r="AH79" s="631">
        <v>10</v>
      </c>
      <c r="AI79" s="631">
        <v>4</v>
      </c>
      <c r="AJ79" s="633" t="s">
        <v>492</v>
      </c>
      <c r="AK79" s="629" t="s">
        <v>417</v>
      </c>
      <c r="AL79" s="629" t="s">
        <v>418</v>
      </c>
      <c r="AM79" s="629" t="s">
        <v>418</v>
      </c>
      <c r="AN79" s="683"/>
    </row>
    <row r="80" spans="1:40" ht="15.75">
      <c r="A80" s="634"/>
      <c r="B80" s="629"/>
      <c r="C80" s="629"/>
      <c r="D80" s="629"/>
      <c r="E80" s="676" t="s">
        <v>493</v>
      </c>
      <c r="F80" s="631"/>
      <c r="G80" s="631"/>
      <c r="H80" s="631"/>
      <c r="I80" s="631"/>
      <c r="J80" s="631"/>
      <c r="K80" s="631"/>
      <c r="L80" s="631"/>
      <c r="M80" s="631"/>
      <c r="N80" s="631"/>
      <c r="O80" s="631"/>
      <c r="P80" s="631"/>
      <c r="Q80" s="631"/>
      <c r="R80" s="631"/>
      <c r="S80" s="631"/>
      <c r="T80" s="631"/>
      <c r="U80" s="631"/>
      <c r="V80" s="631"/>
      <c r="W80" s="631"/>
      <c r="X80" s="631"/>
      <c r="Y80" s="631"/>
      <c r="Z80" s="631"/>
      <c r="AA80" s="631"/>
      <c r="AB80" s="631"/>
      <c r="AC80" s="631"/>
      <c r="AD80" s="631"/>
      <c r="AE80" s="631"/>
      <c r="AF80" s="631"/>
      <c r="AG80" s="631"/>
      <c r="AH80" s="631"/>
      <c r="AI80" s="631"/>
      <c r="AJ80" s="633"/>
      <c r="AK80" s="629"/>
      <c r="AL80" s="629"/>
      <c r="AM80" s="629"/>
      <c r="AN80" s="683"/>
    </row>
    <row r="81" spans="1:40" ht="15.75">
      <c r="A81" s="634"/>
      <c r="B81" s="629"/>
      <c r="C81" s="629"/>
      <c r="D81" s="629"/>
      <c r="E81" s="630"/>
      <c r="F81" s="631"/>
      <c r="G81" s="631">
        <f>+H81+J81+L81+N81+R81+T81+V81+X81+Z81+AB81+AD81+AF81</f>
        <v>0</v>
      </c>
      <c r="H81" s="632"/>
      <c r="I81" s="632"/>
      <c r="J81" s="632"/>
      <c r="K81" s="632"/>
      <c r="L81" s="632"/>
      <c r="M81" s="632"/>
      <c r="N81" s="632"/>
      <c r="O81" s="632"/>
      <c r="P81" s="632"/>
      <c r="Q81" s="632"/>
      <c r="R81" s="632"/>
      <c r="S81" s="632"/>
      <c r="T81" s="632"/>
      <c r="U81" s="632"/>
      <c r="V81" s="632"/>
      <c r="W81" s="632"/>
      <c r="X81" s="632"/>
      <c r="Y81" s="632"/>
      <c r="Z81" s="632"/>
      <c r="AA81" s="632"/>
      <c r="AB81" s="632"/>
      <c r="AC81" s="632"/>
      <c r="AD81" s="632"/>
      <c r="AE81" s="632"/>
      <c r="AF81" s="632"/>
      <c r="AG81" s="632"/>
      <c r="AH81" s="631"/>
      <c r="AI81" s="631"/>
      <c r="AJ81" s="633"/>
      <c r="AK81" s="629"/>
      <c r="AL81" s="629"/>
      <c r="AM81" s="629"/>
      <c r="AN81" s="683"/>
    </row>
    <row r="82" spans="1:40" ht="15.75">
      <c r="A82" s="634" t="s">
        <v>190</v>
      </c>
      <c r="B82" s="629" t="s">
        <v>488</v>
      </c>
      <c r="C82" s="629" t="str">
        <f>VLOOKUP(Tabla6[[#This Row],[SEDE]],'Cronog Junio 2026'!B51:G142,6,0)</f>
        <v>ADMINISTRATIVO</v>
      </c>
      <c r="D82" s="629" t="str">
        <f>VLOOKUP(Tabla6[[#This Row],[SEDE]],'Cronog Junio 2026'!B51:D142,3,0)</f>
        <v>A030010219</v>
      </c>
      <c r="E82" s="630" t="s">
        <v>494</v>
      </c>
      <c r="F82" s="631">
        <v>72</v>
      </c>
      <c r="G82" s="631">
        <f>+H82+J82+L82+N82+P82+R82+T82+V82+X82+Z82+AB82+AD82+AF82</f>
        <v>32</v>
      </c>
      <c r="H82" s="632">
        <v>3</v>
      </c>
      <c r="I82" s="632">
        <v>0</v>
      </c>
      <c r="J82" s="632">
        <v>8</v>
      </c>
      <c r="K82" s="632">
        <v>0</v>
      </c>
      <c r="L82" s="632">
        <v>4</v>
      </c>
      <c r="M82" s="632">
        <v>0</v>
      </c>
      <c r="N82" s="632">
        <v>0</v>
      </c>
      <c r="O82" s="632">
        <v>0</v>
      </c>
      <c r="P82" s="632">
        <v>5</v>
      </c>
      <c r="Q82" s="632">
        <v>0</v>
      </c>
      <c r="R82" s="632">
        <v>4</v>
      </c>
      <c r="S82" s="632">
        <v>0</v>
      </c>
      <c r="T82" s="632">
        <v>0</v>
      </c>
      <c r="U82" s="632">
        <v>0</v>
      </c>
      <c r="V82" s="632">
        <v>1</v>
      </c>
      <c r="W82" s="632">
        <v>0</v>
      </c>
      <c r="X82" s="632">
        <v>1</v>
      </c>
      <c r="Y82" s="632">
        <v>0</v>
      </c>
      <c r="Z82" s="632">
        <v>1</v>
      </c>
      <c r="AA82" s="632">
        <v>0</v>
      </c>
      <c r="AB82" s="632">
        <v>4</v>
      </c>
      <c r="AC82" s="632">
        <v>0</v>
      </c>
      <c r="AD82" s="632">
        <v>1</v>
      </c>
      <c r="AE82" s="632">
        <v>0</v>
      </c>
      <c r="AF82" s="632">
        <v>0</v>
      </c>
      <c r="AG82" s="632">
        <v>0</v>
      </c>
      <c r="AH82" s="631">
        <v>10</v>
      </c>
      <c r="AI82" s="631">
        <v>22</v>
      </c>
      <c r="AJ82" s="633" t="s">
        <v>495</v>
      </c>
      <c r="AK82" s="656" t="s">
        <v>427</v>
      </c>
      <c r="AL82" s="629" t="s">
        <v>418</v>
      </c>
      <c r="AM82" s="629" t="s">
        <v>418</v>
      </c>
      <c r="AN82" s="683" t="s">
        <v>490</v>
      </c>
    </row>
    <row r="83" spans="1:40" ht="15.75">
      <c r="A83" s="634" t="s">
        <v>194</v>
      </c>
      <c r="B83" s="629" t="s">
        <v>488</v>
      </c>
      <c r="C83" s="629" t="str">
        <f>VLOOKUP(Tabla6[[#This Row],[SEDE]],'Cronog Junio 2026'!B52:G143,6,0)</f>
        <v>SALUD</v>
      </c>
      <c r="D83" s="629" t="str">
        <f>VLOOKUP(Tabla6[[#This Row],[SEDE]],'Cronog Junio 2026'!B52:D143,3,0)</f>
        <v>S030010205</v>
      </c>
      <c r="E83" s="630" t="s">
        <v>496</v>
      </c>
      <c r="F83" s="631">
        <v>68</v>
      </c>
      <c r="G83" s="631">
        <v>32</v>
      </c>
      <c r="H83" s="632">
        <v>4</v>
      </c>
      <c r="I83" s="632">
        <v>0</v>
      </c>
      <c r="J83" s="632">
        <v>7</v>
      </c>
      <c r="K83" s="632">
        <v>0</v>
      </c>
      <c r="L83" s="632">
        <v>4</v>
      </c>
      <c r="M83" s="632">
        <v>0</v>
      </c>
      <c r="N83" s="632">
        <v>0</v>
      </c>
      <c r="O83" s="632">
        <v>0</v>
      </c>
      <c r="P83" s="632">
        <v>5</v>
      </c>
      <c r="Q83" s="632">
        <v>0</v>
      </c>
      <c r="R83" s="632">
        <v>4</v>
      </c>
      <c r="S83" s="632">
        <v>0</v>
      </c>
      <c r="T83" s="632">
        <v>1</v>
      </c>
      <c r="U83" s="632">
        <v>0</v>
      </c>
      <c r="V83" s="632">
        <v>0</v>
      </c>
      <c r="W83" s="632">
        <v>0</v>
      </c>
      <c r="X83" s="632">
        <v>5</v>
      </c>
      <c r="Y83" s="632">
        <v>0</v>
      </c>
      <c r="Z83" s="632">
        <v>0</v>
      </c>
      <c r="AA83" s="632">
        <v>0</v>
      </c>
      <c r="AB83" s="632">
        <v>1</v>
      </c>
      <c r="AC83" s="632">
        <v>0</v>
      </c>
      <c r="AD83" s="632">
        <v>1</v>
      </c>
      <c r="AE83" s="632">
        <v>0</v>
      </c>
      <c r="AF83" s="632">
        <v>0</v>
      </c>
      <c r="AG83" s="632">
        <v>0</v>
      </c>
      <c r="AH83" s="631">
        <v>14</v>
      </c>
      <c r="AI83" s="631">
        <v>18</v>
      </c>
      <c r="AJ83" s="633" t="s">
        <v>497</v>
      </c>
      <c r="AK83" s="629" t="s">
        <v>427</v>
      </c>
      <c r="AL83" s="629" t="s">
        <v>418</v>
      </c>
      <c r="AM83" s="629" t="s">
        <v>418</v>
      </c>
      <c r="AN83" s="683" t="s">
        <v>490</v>
      </c>
    </row>
    <row r="84" spans="1:40" ht="15.75">
      <c r="A84" s="634"/>
      <c r="B84" s="629"/>
      <c r="C84" s="629"/>
      <c r="D84" s="629"/>
      <c r="E84" s="630" t="s">
        <v>498</v>
      </c>
      <c r="F84" s="631">
        <v>84</v>
      </c>
      <c r="G84" s="631">
        <f>+H84+J84+L84+N84+R84+T84+V84+X84+Z84+AB84+AD84+AF84</f>
        <v>32</v>
      </c>
      <c r="H84" s="632">
        <v>1</v>
      </c>
      <c r="I84" s="632">
        <v>0</v>
      </c>
      <c r="J84" s="632">
        <v>2</v>
      </c>
      <c r="K84" s="632">
        <v>0</v>
      </c>
      <c r="L84" s="632">
        <v>13</v>
      </c>
      <c r="M84" s="632">
        <v>0</v>
      </c>
      <c r="N84" s="632">
        <v>0</v>
      </c>
      <c r="O84" s="632">
        <v>0</v>
      </c>
      <c r="P84" s="632">
        <v>6</v>
      </c>
      <c r="Q84" s="632">
        <v>0</v>
      </c>
      <c r="R84" s="632">
        <v>2</v>
      </c>
      <c r="S84" s="632">
        <v>0</v>
      </c>
      <c r="T84" s="632">
        <v>1</v>
      </c>
      <c r="U84" s="632">
        <v>0</v>
      </c>
      <c r="V84" s="632">
        <v>2</v>
      </c>
      <c r="W84" s="632">
        <v>0</v>
      </c>
      <c r="X84" s="632">
        <v>10</v>
      </c>
      <c r="Y84" s="632">
        <v>0</v>
      </c>
      <c r="Z84" s="632">
        <v>1</v>
      </c>
      <c r="AA84" s="632">
        <v>0</v>
      </c>
      <c r="AB84" s="632">
        <v>0</v>
      </c>
      <c r="AC84" s="632">
        <v>0</v>
      </c>
      <c r="AD84" s="632">
        <v>0</v>
      </c>
      <c r="AE84" s="632">
        <v>0</v>
      </c>
      <c r="AF84" s="632">
        <v>0</v>
      </c>
      <c r="AG84" s="632">
        <v>0</v>
      </c>
      <c r="AH84" s="631">
        <v>14</v>
      </c>
      <c r="AI84" s="631">
        <v>24</v>
      </c>
      <c r="AJ84" s="633"/>
      <c r="AK84" s="629"/>
      <c r="AL84" s="629"/>
      <c r="AM84" s="629"/>
      <c r="AN84" s="683"/>
    </row>
    <row r="85" spans="1:40" ht="15.75">
      <c r="A85" s="203"/>
      <c r="B85" s="629"/>
      <c r="C85" s="629"/>
      <c r="D85" s="629"/>
      <c r="E85" s="630"/>
      <c r="F85" s="631"/>
      <c r="G85" s="631"/>
      <c r="H85" s="631"/>
      <c r="I85" s="631"/>
      <c r="J85" s="631"/>
      <c r="K85" s="631"/>
      <c r="L85" s="631"/>
      <c r="M85" s="631"/>
      <c r="N85" s="631"/>
      <c r="O85" s="631"/>
      <c r="P85" s="631"/>
      <c r="Q85" s="631"/>
      <c r="R85" s="631"/>
      <c r="S85" s="631"/>
      <c r="T85" s="631"/>
      <c r="U85" s="631"/>
      <c r="V85" s="631"/>
      <c r="W85" s="631"/>
      <c r="X85" s="631"/>
      <c r="Y85" s="631"/>
      <c r="Z85" s="631"/>
      <c r="AA85" s="631"/>
      <c r="AB85" s="631"/>
      <c r="AC85" s="631"/>
      <c r="AD85" s="631"/>
      <c r="AE85" s="631"/>
      <c r="AF85" s="631"/>
      <c r="AG85" s="631"/>
      <c r="AH85" s="631"/>
      <c r="AI85" s="631"/>
      <c r="AJ85" s="633"/>
      <c r="AK85" s="629"/>
      <c r="AL85" s="629"/>
      <c r="AM85" s="629"/>
      <c r="AN85" s="683"/>
    </row>
    <row r="86" spans="1:40" ht="15.75">
      <c r="A86" s="654" t="s">
        <v>197</v>
      </c>
      <c r="B86" s="656" t="s">
        <v>488</v>
      </c>
      <c r="C86" s="656" t="str">
        <f>VLOOKUP(Tabla6[[#This Row],[SEDE]],'Cronog Junio 2026'!B53:G144,6,0)</f>
        <v>EDUCACION</v>
      </c>
      <c r="D86" s="656" t="str">
        <f>VLOOKUP(Tabla6[[#This Row],[SEDE]],'Cronog Junio 2026'!B53:D144,3,0)</f>
        <v>E050010205</v>
      </c>
      <c r="E86" s="657" t="s">
        <v>415</v>
      </c>
      <c r="F86" s="655">
        <v>44</v>
      </c>
      <c r="G86" s="655">
        <f>+H86+J86+L86+N86+P86+R86+T86+V86+X86+Z86+AB86+AD86+AF86</f>
        <v>18</v>
      </c>
      <c r="H86" s="658">
        <v>2</v>
      </c>
      <c r="I86" s="658">
        <v>0</v>
      </c>
      <c r="J86" s="658">
        <v>6</v>
      </c>
      <c r="K86" s="658">
        <v>0</v>
      </c>
      <c r="L86" s="658">
        <v>1</v>
      </c>
      <c r="M86" s="658">
        <v>0</v>
      </c>
      <c r="N86" s="658">
        <v>0</v>
      </c>
      <c r="O86" s="658">
        <v>0</v>
      </c>
      <c r="P86" s="658">
        <v>2</v>
      </c>
      <c r="Q86" s="658">
        <v>0</v>
      </c>
      <c r="R86" s="658">
        <v>2</v>
      </c>
      <c r="S86" s="658">
        <v>0</v>
      </c>
      <c r="T86" s="658">
        <v>0</v>
      </c>
      <c r="U86" s="658">
        <v>0</v>
      </c>
      <c r="V86" s="658">
        <v>1</v>
      </c>
      <c r="W86" s="658">
        <v>0</v>
      </c>
      <c r="X86" s="658">
        <v>2</v>
      </c>
      <c r="Y86" s="658">
        <v>0</v>
      </c>
      <c r="Z86" s="658">
        <v>0</v>
      </c>
      <c r="AA86" s="658">
        <v>0</v>
      </c>
      <c r="AB86" s="658">
        <v>1</v>
      </c>
      <c r="AC86" s="658">
        <v>0</v>
      </c>
      <c r="AD86" s="658">
        <v>1</v>
      </c>
      <c r="AE86" s="658">
        <v>0</v>
      </c>
      <c r="AF86" s="658">
        <v>0</v>
      </c>
      <c r="AG86" s="658">
        <v>0</v>
      </c>
      <c r="AH86" s="655">
        <v>6</v>
      </c>
      <c r="AI86" s="655">
        <v>12</v>
      </c>
      <c r="AJ86" s="659" t="s">
        <v>499</v>
      </c>
      <c r="AK86" s="656" t="s">
        <v>417</v>
      </c>
      <c r="AL86" s="656" t="s">
        <v>418</v>
      </c>
      <c r="AM86" s="677" t="s">
        <v>419</v>
      </c>
      <c r="AN86" s="683" t="s">
        <v>500</v>
      </c>
    </row>
    <row r="87" spans="1:40" ht="15.75">
      <c r="A87" s="654"/>
      <c r="B87" s="656"/>
      <c r="C87" s="656"/>
      <c r="D87" s="656"/>
      <c r="E87" s="657" t="s">
        <v>501</v>
      </c>
      <c r="F87" s="655">
        <v>60</v>
      </c>
      <c r="G87" s="655">
        <f>+H87+J87+L87+N87+P87+R87+T87+V87+X87+Z87+AB87+AD87+AF87</f>
        <v>29</v>
      </c>
      <c r="H87" s="658">
        <v>2</v>
      </c>
      <c r="I87" s="658">
        <v>0</v>
      </c>
      <c r="J87" s="658">
        <v>13</v>
      </c>
      <c r="K87" s="658">
        <v>0</v>
      </c>
      <c r="L87" s="658">
        <v>2</v>
      </c>
      <c r="M87" s="658">
        <v>0</v>
      </c>
      <c r="N87" s="658">
        <v>0</v>
      </c>
      <c r="O87" s="658">
        <v>0</v>
      </c>
      <c r="P87" s="658">
        <v>8</v>
      </c>
      <c r="Q87" s="658">
        <v>0</v>
      </c>
      <c r="R87" s="658">
        <v>3</v>
      </c>
      <c r="S87" s="658">
        <v>0</v>
      </c>
      <c r="T87" s="658">
        <v>0</v>
      </c>
      <c r="U87" s="658">
        <v>0</v>
      </c>
      <c r="V87" s="658">
        <v>0</v>
      </c>
      <c r="W87" s="658">
        <v>0</v>
      </c>
      <c r="X87" s="658">
        <v>1</v>
      </c>
      <c r="Y87" s="658">
        <v>0</v>
      </c>
      <c r="Z87" s="658">
        <v>0</v>
      </c>
      <c r="AA87" s="658">
        <v>0</v>
      </c>
      <c r="AB87" s="658">
        <v>0</v>
      </c>
      <c r="AC87" s="658">
        <v>0</v>
      </c>
      <c r="AD87" s="658">
        <v>0</v>
      </c>
      <c r="AE87" s="658">
        <v>0</v>
      </c>
      <c r="AF87" s="658">
        <v>0</v>
      </c>
      <c r="AG87" s="658">
        <v>0</v>
      </c>
      <c r="AH87" s="655">
        <v>1</v>
      </c>
      <c r="AI87" s="655">
        <v>28</v>
      </c>
      <c r="AJ87" s="659" t="s">
        <v>502</v>
      </c>
      <c r="AK87" s="656" t="s">
        <v>417</v>
      </c>
      <c r="AL87" s="656" t="s">
        <v>418</v>
      </c>
      <c r="AM87" s="677" t="s">
        <v>419</v>
      </c>
      <c r="AN87" s="683"/>
    </row>
    <row r="88" spans="1:40" ht="15.75">
      <c r="A88" s="654" t="s">
        <v>201</v>
      </c>
      <c r="B88" s="656" t="s">
        <v>488</v>
      </c>
      <c r="C88" s="656" t="str">
        <f>VLOOKUP(Tabla6[[#This Row],[SEDE]],'Cronog Junio 2026'!B54:G145,6,0)</f>
        <v>FOMENTO</v>
      </c>
      <c r="D88" s="656" t="str">
        <f>VLOOKUP(Tabla6[[#This Row],[SEDE]],'Cronog Junio 2026'!B54:D145,3,0)</f>
        <v xml:space="preserve">ORD500782 </v>
      </c>
      <c r="E88" s="657" t="s">
        <v>204</v>
      </c>
      <c r="F88" s="655">
        <v>32</v>
      </c>
      <c r="G88" s="655">
        <f>+H88+J88+L88+N88+P88+R88+T88+V88+X88+Z88+AB88+AD88+AF88</f>
        <v>12</v>
      </c>
      <c r="H88" s="655">
        <v>3</v>
      </c>
      <c r="I88" s="655">
        <v>0</v>
      </c>
      <c r="J88" s="655">
        <v>4</v>
      </c>
      <c r="K88" s="655">
        <v>0</v>
      </c>
      <c r="L88" s="655">
        <v>0</v>
      </c>
      <c r="M88" s="655">
        <v>0</v>
      </c>
      <c r="N88" s="655">
        <v>0</v>
      </c>
      <c r="O88" s="655">
        <v>0</v>
      </c>
      <c r="P88" s="655">
        <v>0</v>
      </c>
      <c r="Q88" s="655">
        <v>0</v>
      </c>
      <c r="R88" s="655">
        <v>2</v>
      </c>
      <c r="S88" s="655">
        <v>0</v>
      </c>
      <c r="T88" s="655">
        <v>1</v>
      </c>
      <c r="U88" s="655">
        <v>0</v>
      </c>
      <c r="V88" s="655">
        <v>1</v>
      </c>
      <c r="W88" s="655">
        <v>0</v>
      </c>
      <c r="X88" s="655">
        <v>1</v>
      </c>
      <c r="Y88" s="655">
        <v>0</v>
      </c>
      <c r="Z88" s="655">
        <v>0</v>
      </c>
      <c r="AA88" s="655">
        <v>0</v>
      </c>
      <c r="AB88" s="655">
        <v>0</v>
      </c>
      <c r="AC88" s="655">
        <v>0</v>
      </c>
      <c r="AD88" s="655">
        <v>0</v>
      </c>
      <c r="AE88" s="655">
        <v>0</v>
      </c>
      <c r="AF88" s="655">
        <v>0</v>
      </c>
      <c r="AG88" s="655">
        <v>0</v>
      </c>
      <c r="AH88" s="655">
        <v>1</v>
      </c>
      <c r="AI88" s="655">
        <v>11</v>
      </c>
      <c r="AJ88" s="659" t="s">
        <v>503</v>
      </c>
      <c r="AK88" s="656" t="s">
        <v>417</v>
      </c>
      <c r="AL88" s="656" t="s">
        <v>418</v>
      </c>
      <c r="AM88" s="677" t="s">
        <v>419</v>
      </c>
      <c r="AN88" s="683" t="s">
        <v>500</v>
      </c>
    </row>
    <row r="89" spans="1:40" ht="15.75">
      <c r="A89" s="654" t="s">
        <v>205</v>
      </c>
      <c r="B89" s="656" t="s">
        <v>488</v>
      </c>
      <c r="C89" s="656" t="str">
        <f>VLOOKUP(Tabla6[[#This Row],[SEDE]],'Cronog Junio 2026'!B55:G146,6,0)</f>
        <v>ADMINISTRATIVO</v>
      </c>
      <c r="D89" s="656" t="str">
        <f>VLOOKUP(Tabla6[[#This Row],[SEDE]],'Cronog Junio 2026'!B55:D146,3,0)</f>
        <v>A050010407</v>
      </c>
      <c r="E89" s="657" t="s">
        <v>207</v>
      </c>
      <c r="F89" s="655">
        <v>8</v>
      </c>
      <c r="G89" s="655">
        <v>3</v>
      </c>
      <c r="H89" s="658">
        <v>0</v>
      </c>
      <c r="I89" s="658">
        <v>0</v>
      </c>
      <c r="J89" s="658">
        <v>2</v>
      </c>
      <c r="K89" s="658">
        <v>0</v>
      </c>
      <c r="L89" s="658">
        <v>1</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58">
        <v>0</v>
      </c>
      <c r="AH89" s="655">
        <v>1</v>
      </c>
      <c r="AI89" s="655">
        <v>2</v>
      </c>
      <c r="AJ89" s="659" t="s">
        <v>504</v>
      </c>
      <c r="AK89" s="656" t="s">
        <v>417</v>
      </c>
      <c r="AL89" s="656" t="s">
        <v>418</v>
      </c>
      <c r="AM89" s="677" t="s">
        <v>419</v>
      </c>
      <c r="AN89" s="683" t="s">
        <v>500</v>
      </c>
    </row>
    <row r="90" spans="1:40" ht="15.75">
      <c r="A90" s="634" t="s">
        <v>208</v>
      </c>
      <c r="B90" s="629" t="s">
        <v>488</v>
      </c>
      <c r="C90" s="629" t="str">
        <f>VLOOKUP(Tabla6[[#This Row],[SEDE]],'Cronog Junio 2026'!B56:G147,6,0)</f>
        <v>MERCADEO</v>
      </c>
      <c r="D90" s="629" t="str">
        <f>VLOOKUP(Tabla6[[#This Row],[SEDE]],'Cronog Junio 2026'!B56:D147,3,0)</f>
        <v>M050110213</v>
      </c>
      <c r="E90" s="630"/>
      <c r="F90" s="631"/>
      <c r="G90" s="631">
        <f t="shared" ref="G87:G91" si="3">+H90+J90+L90+N90+P90+R90+T90+V90+X90+Z90+AB90+AD90+AF90</f>
        <v>0</v>
      </c>
      <c r="H90" s="632"/>
      <c r="I90" s="632"/>
      <c r="J90" s="632"/>
      <c r="K90" s="632"/>
      <c r="L90" s="632"/>
      <c r="M90" s="632"/>
      <c r="N90" s="632"/>
      <c r="O90" s="632"/>
      <c r="P90" s="632"/>
      <c r="Q90" s="632"/>
      <c r="R90" s="632"/>
      <c r="S90" s="632"/>
      <c r="T90" s="632"/>
      <c r="U90" s="632"/>
      <c r="V90" s="632"/>
      <c r="W90" s="632"/>
      <c r="X90" s="632"/>
      <c r="Y90" s="632"/>
      <c r="Z90" s="632"/>
      <c r="AA90" s="632"/>
      <c r="AB90" s="632"/>
      <c r="AC90" s="632"/>
      <c r="AD90" s="632"/>
      <c r="AE90" s="632"/>
      <c r="AF90" s="632"/>
      <c r="AG90" s="632"/>
      <c r="AH90" s="631"/>
      <c r="AI90" s="631"/>
      <c r="AJ90" s="633"/>
      <c r="AK90" s="629"/>
      <c r="AL90" s="629"/>
      <c r="AM90" s="629"/>
      <c r="AN90" s="683" t="s">
        <v>500</v>
      </c>
    </row>
    <row r="91" spans="1:40" ht="15.75">
      <c r="A91" s="654" t="s">
        <v>210</v>
      </c>
      <c r="B91" s="656" t="s">
        <v>488</v>
      </c>
      <c r="C91" s="656" t="str">
        <f>VLOOKUP(Tabla6[[#This Row],[SEDE]],'Cronog Junio 2026'!B57:G148,6,0)</f>
        <v>EDUCACION</v>
      </c>
      <c r="D91" s="656" t="str">
        <f>VLOOKUP(Tabla6[[#This Row],[SEDE]],'Cronog Junio 2026'!B57:D148,3,0)</f>
        <v>E040110205</v>
      </c>
      <c r="E91" s="657" t="s">
        <v>415</v>
      </c>
      <c r="F91" s="655">
        <v>88</v>
      </c>
      <c r="G91" s="655">
        <f>+H91+J91+L91+N91+P91+R91+T91+V91+X91+Z91+AB91+AD91+AF91</f>
        <v>16</v>
      </c>
      <c r="H91" s="658">
        <v>0</v>
      </c>
      <c r="I91" s="658">
        <v>0</v>
      </c>
      <c r="J91" s="658">
        <v>0</v>
      </c>
      <c r="K91" s="658">
        <v>0</v>
      </c>
      <c r="L91" s="658">
        <v>2</v>
      </c>
      <c r="M91" s="658">
        <v>0</v>
      </c>
      <c r="N91" s="658">
        <v>1</v>
      </c>
      <c r="O91" s="658">
        <v>0</v>
      </c>
      <c r="P91" s="658">
        <v>1</v>
      </c>
      <c r="Q91" s="658">
        <v>0</v>
      </c>
      <c r="R91" s="658">
        <v>2</v>
      </c>
      <c r="S91" s="658">
        <v>0</v>
      </c>
      <c r="T91" s="658">
        <v>0</v>
      </c>
      <c r="U91" s="658">
        <v>0</v>
      </c>
      <c r="V91" s="658">
        <v>1</v>
      </c>
      <c r="W91" s="658">
        <v>0</v>
      </c>
      <c r="X91" s="658">
        <v>2</v>
      </c>
      <c r="Y91" s="658">
        <v>0</v>
      </c>
      <c r="Z91" s="658">
        <v>1</v>
      </c>
      <c r="AA91" s="658">
        <v>0</v>
      </c>
      <c r="AB91" s="658">
        <v>4</v>
      </c>
      <c r="AC91" s="658">
        <v>0</v>
      </c>
      <c r="AD91" s="658">
        <v>2</v>
      </c>
      <c r="AE91" s="658">
        <v>0</v>
      </c>
      <c r="AF91" s="658">
        <v>0</v>
      </c>
      <c r="AG91" s="658">
        <v>0</v>
      </c>
      <c r="AH91" s="655">
        <v>8</v>
      </c>
      <c r="AI91" s="655">
        <v>8</v>
      </c>
      <c r="AJ91" s="659" t="s">
        <v>505</v>
      </c>
      <c r="AK91" s="656" t="s">
        <v>427</v>
      </c>
      <c r="AL91" s="677" t="s">
        <v>419</v>
      </c>
      <c r="AM91" s="677" t="s">
        <v>419</v>
      </c>
      <c r="AN91" s="683" t="s">
        <v>506</v>
      </c>
    </row>
    <row r="92" spans="1:40" ht="15.75">
      <c r="A92" s="634"/>
      <c r="B92" s="629"/>
      <c r="C92" s="629"/>
      <c r="D92" s="629"/>
      <c r="E92" s="686" t="s">
        <v>421</v>
      </c>
      <c r="F92" s="631">
        <v>72</v>
      </c>
      <c r="G92" s="655">
        <f>+H92+J92+L92+N92+P92+R92+T92+V92+X92+Z92+AB92+AD92+AF92</f>
        <v>8</v>
      </c>
      <c r="H92" s="632">
        <v>1</v>
      </c>
      <c r="I92" s="632">
        <v>0</v>
      </c>
      <c r="J92" s="632">
        <v>0</v>
      </c>
      <c r="K92" s="632">
        <v>0</v>
      </c>
      <c r="L92" s="632">
        <v>3</v>
      </c>
      <c r="M92" s="632">
        <v>0</v>
      </c>
      <c r="N92" s="632">
        <v>0</v>
      </c>
      <c r="O92" s="632">
        <v>0</v>
      </c>
      <c r="P92" s="632">
        <v>0</v>
      </c>
      <c r="Q92" s="632">
        <v>0</v>
      </c>
      <c r="R92" s="632">
        <v>0</v>
      </c>
      <c r="S92" s="632">
        <v>0</v>
      </c>
      <c r="T92" s="632">
        <v>0</v>
      </c>
      <c r="U92" s="632">
        <v>0</v>
      </c>
      <c r="V92" s="632">
        <v>0</v>
      </c>
      <c r="W92" s="632">
        <v>0</v>
      </c>
      <c r="X92" s="632">
        <v>0</v>
      </c>
      <c r="Y92" s="632">
        <v>0</v>
      </c>
      <c r="Z92" s="632">
        <v>0</v>
      </c>
      <c r="AA92" s="632">
        <v>0</v>
      </c>
      <c r="AB92" s="632">
        <v>4</v>
      </c>
      <c r="AC92" s="632">
        <v>0</v>
      </c>
      <c r="AD92" s="632">
        <v>0</v>
      </c>
      <c r="AE92" s="632">
        <v>0</v>
      </c>
      <c r="AF92" s="632">
        <v>0</v>
      </c>
      <c r="AG92" s="632">
        <v>0</v>
      </c>
      <c r="AH92" s="631">
        <v>4</v>
      </c>
      <c r="AI92" s="631">
        <v>4</v>
      </c>
      <c r="AJ92" s="633" t="s">
        <v>507</v>
      </c>
      <c r="AK92" s="656" t="s">
        <v>427</v>
      </c>
      <c r="AL92" s="656" t="s">
        <v>418</v>
      </c>
      <c r="AM92" s="677" t="s">
        <v>418</v>
      </c>
      <c r="AN92" s="683"/>
    </row>
    <row r="93" spans="1:40" ht="15.75">
      <c r="A93" s="634"/>
      <c r="B93" s="629"/>
      <c r="C93" s="629"/>
      <c r="D93" s="629"/>
      <c r="E93" s="630" t="s">
        <v>439</v>
      </c>
      <c r="F93" s="631">
        <v>72</v>
      </c>
      <c r="G93" s="655">
        <f>+H93+J93+L93+N93+P93+R93+T93+V93+X93+Z93+AB93+AD93+AF93</f>
        <v>14</v>
      </c>
      <c r="H93" s="632">
        <v>1</v>
      </c>
      <c r="I93" s="632">
        <v>0</v>
      </c>
      <c r="J93" s="632">
        <v>0</v>
      </c>
      <c r="K93" s="632">
        <v>0</v>
      </c>
      <c r="L93" s="632">
        <v>3</v>
      </c>
      <c r="M93" s="632">
        <v>0</v>
      </c>
      <c r="N93" s="632">
        <v>0</v>
      </c>
      <c r="O93" s="632">
        <v>0</v>
      </c>
      <c r="P93" s="632">
        <v>0</v>
      </c>
      <c r="Q93" s="632">
        <v>0</v>
      </c>
      <c r="R93" s="632">
        <v>1</v>
      </c>
      <c r="S93" s="632">
        <v>0</v>
      </c>
      <c r="T93" s="632">
        <v>1</v>
      </c>
      <c r="U93" s="632">
        <v>0</v>
      </c>
      <c r="V93" s="632">
        <v>0</v>
      </c>
      <c r="W93" s="632">
        <v>0</v>
      </c>
      <c r="X93" s="632">
        <v>2</v>
      </c>
      <c r="Y93" s="632">
        <v>0</v>
      </c>
      <c r="Z93" s="632">
        <v>0</v>
      </c>
      <c r="AA93" s="632">
        <v>0</v>
      </c>
      <c r="AB93" s="632">
        <v>6</v>
      </c>
      <c r="AC93" s="632">
        <v>0</v>
      </c>
      <c r="AD93" s="632">
        <v>0</v>
      </c>
      <c r="AE93" s="632">
        <v>0</v>
      </c>
      <c r="AF93" s="632">
        <v>0</v>
      </c>
      <c r="AG93" s="632">
        <v>0</v>
      </c>
      <c r="AH93" s="631">
        <v>6</v>
      </c>
      <c r="AI93" s="631">
        <v>8</v>
      </c>
      <c r="AJ93" s="633" t="s">
        <v>508</v>
      </c>
      <c r="AK93" s="656" t="s">
        <v>427</v>
      </c>
      <c r="AL93" s="656" t="s">
        <v>418</v>
      </c>
      <c r="AM93" s="629" t="s">
        <v>418</v>
      </c>
      <c r="AN93" s="683"/>
    </row>
    <row r="94" spans="1:40" ht="15.75">
      <c r="A94" s="634" t="s">
        <v>213</v>
      </c>
      <c r="B94" s="629" t="s">
        <v>488</v>
      </c>
      <c r="C94" s="629" t="str">
        <f>VLOOKUP(Tabla6[[#This Row],[SEDE]],'Cronog Junio 2026'!B58:G149,6,0)</f>
        <v>EDUCACION</v>
      </c>
      <c r="D94" s="629" t="str">
        <f>VLOOKUP(Tabla6[[#This Row],[SEDE]],'Cronog Junio 2026'!B58:D149,3,0)</f>
        <v>E040110205</v>
      </c>
      <c r="E94" s="630"/>
      <c r="F94" s="631">
        <f>F91+F92+F93</f>
        <v>232</v>
      </c>
      <c r="G94" s="631">
        <f t="shared" ref="G94:AI94" si="4">G91+G92+G93</f>
        <v>38</v>
      </c>
      <c r="H94" s="631">
        <f t="shared" si="4"/>
        <v>2</v>
      </c>
      <c r="I94" s="631">
        <f t="shared" si="4"/>
        <v>0</v>
      </c>
      <c r="J94" s="631">
        <f t="shared" si="4"/>
        <v>0</v>
      </c>
      <c r="K94" s="631">
        <f t="shared" si="4"/>
        <v>0</v>
      </c>
      <c r="L94" s="631">
        <f t="shared" si="4"/>
        <v>8</v>
      </c>
      <c r="M94" s="631">
        <f t="shared" si="4"/>
        <v>0</v>
      </c>
      <c r="N94" s="631">
        <f t="shared" si="4"/>
        <v>1</v>
      </c>
      <c r="O94" s="631">
        <f t="shared" si="4"/>
        <v>0</v>
      </c>
      <c r="P94" s="631">
        <f t="shared" si="4"/>
        <v>1</v>
      </c>
      <c r="Q94" s="631">
        <f t="shared" si="4"/>
        <v>0</v>
      </c>
      <c r="R94" s="631">
        <f t="shared" si="4"/>
        <v>3</v>
      </c>
      <c r="S94" s="631">
        <f t="shared" si="4"/>
        <v>0</v>
      </c>
      <c r="T94" s="631">
        <f t="shared" si="4"/>
        <v>1</v>
      </c>
      <c r="U94" s="631">
        <f t="shared" si="4"/>
        <v>0</v>
      </c>
      <c r="V94" s="631">
        <f t="shared" si="4"/>
        <v>1</v>
      </c>
      <c r="W94" s="631">
        <f t="shared" si="4"/>
        <v>0</v>
      </c>
      <c r="X94" s="631">
        <f t="shared" si="4"/>
        <v>4</v>
      </c>
      <c r="Y94" s="631">
        <f t="shared" si="4"/>
        <v>0</v>
      </c>
      <c r="Z94" s="631">
        <f t="shared" si="4"/>
        <v>1</v>
      </c>
      <c r="AA94" s="631">
        <f t="shared" si="4"/>
        <v>0</v>
      </c>
      <c r="AB94" s="631">
        <f t="shared" si="4"/>
        <v>14</v>
      </c>
      <c r="AC94" s="631">
        <f t="shared" si="4"/>
        <v>0</v>
      </c>
      <c r="AD94" s="631">
        <f t="shared" si="4"/>
        <v>2</v>
      </c>
      <c r="AE94" s="631">
        <f t="shared" si="4"/>
        <v>0</v>
      </c>
      <c r="AF94" s="631">
        <f t="shared" si="4"/>
        <v>0</v>
      </c>
      <c r="AG94" s="631">
        <f t="shared" si="4"/>
        <v>0</v>
      </c>
      <c r="AH94" s="631">
        <f t="shared" si="4"/>
        <v>18</v>
      </c>
      <c r="AI94" s="631">
        <f t="shared" si="4"/>
        <v>20</v>
      </c>
      <c r="AJ94" s="633"/>
      <c r="AK94" s="629"/>
      <c r="AL94" s="629"/>
      <c r="AM94" s="629"/>
      <c r="AN94" s="683" t="s">
        <v>506</v>
      </c>
    </row>
    <row r="95" spans="1:40" ht="15.75">
      <c r="A95" s="654" t="s">
        <v>214</v>
      </c>
      <c r="B95" s="656" t="s">
        <v>488</v>
      </c>
      <c r="C95" s="656" t="str">
        <f>VLOOKUP(Tabla6[[#This Row],[SEDE]],'Cronog Junio 2026'!B59:G150,6,0)</f>
        <v>SALUD</v>
      </c>
      <c r="D95" s="656" t="str">
        <f>VLOOKUP(Tabla6[[#This Row],[SEDE]],'Cronog Junio 2026'!B59:D150,3,0)</f>
        <v>S060020205</v>
      </c>
      <c r="E95" s="657" t="s">
        <v>415</v>
      </c>
      <c r="F95" s="655">
        <v>88</v>
      </c>
      <c r="G95" s="655">
        <f>+H95+J95+L95+N95+P95+R95+T95+V95+X95+Z95+AB95+AD95+AF95</f>
        <v>32</v>
      </c>
      <c r="H95" s="658">
        <v>3</v>
      </c>
      <c r="I95" s="658">
        <v>0</v>
      </c>
      <c r="J95" s="658">
        <v>4</v>
      </c>
      <c r="K95" s="658">
        <v>0</v>
      </c>
      <c r="L95" s="658">
        <v>13</v>
      </c>
      <c r="M95" s="658">
        <v>0</v>
      </c>
      <c r="N95" s="658">
        <v>1</v>
      </c>
      <c r="O95" s="658">
        <v>0</v>
      </c>
      <c r="P95" s="658">
        <v>2</v>
      </c>
      <c r="Q95" s="658">
        <v>0</v>
      </c>
      <c r="R95" s="658">
        <v>1</v>
      </c>
      <c r="S95" s="658">
        <v>0</v>
      </c>
      <c r="T95" s="658">
        <v>3</v>
      </c>
      <c r="U95" s="658">
        <v>0</v>
      </c>
      <c r="V95" s="658">
        <v>0</v>
      </c>
      <c r="W95" s="658">
        <v>0</v>
      </c>
      <c r="X95" s="658">
        <v>4</v>
      </c>
      <c r="Y95" s="658">
        <v>0</v>
      </c>
      <c r="Z95" s="658">
        <v>0</v>
      </c>
      <c r="AA95" s="658">
        <v>0</v>
      </c>
      <c r="AB95" s="658">
        <v>1</v>
      </c>
      <c r="AC95" s="658">
        <v>0</v>
      </c>
      <c r="AD95" s="658">
        <v>0</v>
      </c>
      <c r="AE95" s="658">
        <v>0</v>
      </c>
      <c r="AF95" s="658">
        <v>0</v>
      </c>
      <c r="AG95" s="658">
        <v>0</v>
      </c>
      <c r="AH95" s="655">
        <v>29</v>
      </c>
      <c r="AI95" s="655">
        <v>3</v>
      </c>
      <c r="AJ95" s="659" t="s">
        <v>509</v>
      </c>
      <c r="AK95" s="656" t="s">
        <v>427</v>
      </c>
      <c r="AL95" s="656" t="s">
        <v>418</v>
      </c>
      <c r="AM95" s="677" t="s">
        <v>419</v>
      </c>
      <c r="AN95" s="683" t="s">
        <v>510</v>
      </c>
    </row>
    <row r="96" spans="1:40" ht="15.75">
      <c r="A96" s="634"/>
      <c r="B96" s="629"/>
      <c r="C96" s="629"/>
      <c r="D96" s="629"/>
      <c r="E96" s="657" t="s">
        <v>421</v>
      </c>
      <c r="F96" s="655">
        <v>72</v>
      </c>
      <c r="G96" s="655">
        <f>+H96+J96+L96+N96+P96+R96+T96+V96+X96+Z96+AB96+AD96+AF96</f>
        <v>24</v>
      </c>
      <c r="H96" s="658">
        <v>4</v>
      </c>
      <c r="I96" s="658">
        <v>0</v>
      </c>
      <c r="J96" s="658">
        <v>4</v>
      </c>
      <c r="K96" s="658">
        <v>0</v>
      </c>
      <c r="L96" s="658">
        <v>7</v>
      </c>
      <c r="M96" s="658">
        <v>0</v>
      </c>
      <c r="N96" s="658">
        <v>1</v>
      </c>
      <c r="O96" s="658">
        <v>0</v>
      </c>
      <c r="P96" s="658">
        <v>1</v>
      </c>
      <c r="Q96" s="658">
        <v>0</v>
      </c>
      <c r="R96" s="658">
        <v>0</v>
      </c>
      <c r="S96" s="658">
        <v>0</v>
      </c>
      <c r="T96" s="658">
        <v>1</v>
      </c>
      <c r="U96" s="658">
        <v>0</v>
      </c>
      <c r="V96" s="658">
        <v>0</v>
      </c>
      <c r="W96" s="658">
        <v>0</v>
      </c>
      <c r="X96" s="658">
        <v>3</v>
      </c>
      <c r="Y96" s="658">
        <v>0</v>
      </c>
      <c r="Z96" s="658">
        <v>0</v>
      </c>
      <c r="AA96" s="658">
        <v>0</v>
      </c>
      <c r="AB96" s="658">
        <v>3</v>
      </c>
      <c r="AC96" s="658">
        <v>0</v>
      </c>
      <c r="AD96" s="658">
        <v>0</v>
      </c>
      <c r="AE96" s="658">
        <v>0</v>
      </c>
      <c r="AF96" s="658">
        <v>0</v>
      </c>
      <c r="AG96" s="658">
        <v>0</v>
      </c>
      <c r="AH96" s="655">
        <v>20</v>
      </c>
      <c r="AI96" s="655">
        <v>4</v>
      </c>
      <c r="AJ96" s="659" t="s">
        <v>511</v>
      </c>
      <c r="AK96" s="656" t="s">
        <v>427</v>
      </c>
      <c r="AL96" s="656" t="s">
        <v>418</v>
      </c>
      <c r="AM96" s="677" t="s">
        <v>419</v>
      </c>
      <c r="AN96" s="683"/>
    </row>
    <row r="97" spans="1:40" ht="15.75">
      <c r="A97" s="634"/>
      <c r="B97" s="629"/>
      <c r="C97" s="629"/>
      <c r="D97" s="629"/>
      <c r="E97" s="630" t="s">
        <v>439</v>
      </c>
      <c r="F97" s="631"/>
      <c r="G97" s="631">
        <f>+H97+J97+L97+N97+R97+T97+V97+X97+Z97+AB97+AD97+AF97</f>
        <v>0</v>
      </c>
      <c r="H97" s="632"/>
      <c r="I97" s="632"/>
      <c r="J97" s="632"/>
      <c r="K97" s="632"/>
      <c r="L97" s="632"/>
      <c r="M97" s="632"/>
      <c r="N97" s="632"/>
      <c r="O97" s="632"/>
      <c r="P97" s="632"/>
      <c r="Q97" s="632"/>
      <c r="R97" s="632"/>
      <c r="S97" s="632"/>
      <c r="T97" s="632"/>
      <c r="U97" s="632"/>
      <c r="V97" s="632"/>
      <c r="W97" s="632"/>
      <c r="X97" s="632"/>
      <c r="Y97" s="632"/>
      <c r="Z97" s="632"/>
      <c r="AA97" s="632"/>
      <c r="AB97" s="632"/>
      <c r="AC97" s="632"/>
      <c r="AD97" s="632"/>
      <c r="AE97" s="632"/>
      <c r="AF97" s="632"/>
      <c r="AG97" s="632"/>
      <c r="AH97" s="631"/>
      <c r="AI97" s="631"/>
      <c r="AJ97" s="633"/>
      <c r="AK97" s="629"/>
      <c r="AL97" s="629"/>
      <c r="AM97" s="629"/>
      <c r="AN97" s="683"/>
    </row>
    <row r="98" spans="1:40" ht="15.75">
      <c r="A98" s="654" t="s">
        <v>218</v>
      </c>
      <c r="B98" s="656" t="s">
        <v>488</v>
      </c>
      <c r="C98" s="656" t="str">
        <f>VLOOKUP(Tabla6[[#This Row],[SEDE]],'Cronog Junio 2026'!B60:G151,6,0)</f>
        <v>SALUD</v>
      </c>
      <c r="D98" s="656" t="str">
        <f>VLOOKUP(Tabla6[[#This Row],[SEDE]],'Cronog Junio 2026'!B60:D151,3,0)</f>
        <v>S020030205</v>
      </c>
      <c r="E98" s="657" t="s">
        <v>415</v>
      </c>
      <c r="F98" s="655">
        <v>93</v>
      </c>
      <c r="G98" s="655">
        <f>+H98+J98+L98+N98+P98+R98+T98+V98+X98+Z98+AB98+AD98+AF98</f>
        <v>18</v>
      </c>
      <c r="H98" s="655">
        <v>2</v>
      </c>
      <c r="I98" s="655">
        <v>0</v>
      </c>
      <c r="J98" s="655">
        <v>5</v>
      </c>
      <c r="K98" s="655">
        <v>0</v>
      </c>
      <c r="L98" s="655">
        <v>2</v>
      </c>
      <c r="M98" s="655">
        <v>0</v>
      </c>
      <c r="N98" s="655">
        <v>0</v>
      </c>
      <c r="O98" s="655">
        <v>0</v>
      </c>
      <c r="P98" s="655">
        <v>7</v>
      </c>
      <c r="Q98" s="655">
        <v>0</v>
      </c>
      <c r="R98" s="655">
        <v>0</v>
      </c>
      <c r="S98" s="655">
        <v>0</v>
      </c>
      <c r="T98" s="655">
        <v>2</v>
      </c>
      <c r="U98" s="655">
        <v>0</v>
      </c>
      <c r="V98" s="655">
        <v>0</v>
      </c>
      <c r="W98" s="655">
        <v>0</v>
      </c>
      <c r="X98" s="655">
        <v>0</v>
      </c>
      <c r="Y98" s="655">
        <v>0</v>
      </c>
      <c r="Z98" s="655">
        <v>0</v>
      </c>
      <c r="AA98" s="655">
        <v>0</v>
      </c>
      <c r="AB98" s="655">
        <v>0</v>
      </c>
      <c r="AC98" s="655">
        <v>0</v>
      </c>
      <c r="AD98" s="655">
        <v>0</v>
      </c>
      <c r="AE98" s="655">
        <v>0</v>
      </c>
      <c r="AF98" s="655">
        <v>0</v>
      </c>
      <c r="AG98" s="655">
        <v>0</v>
      </c>
      <c r="AH98" s="655">
        <v>7</v>
      </c>
      <c r="AI98" s="655">
        <v>11</v>
      </c>
      <c r="AJ98" s="659" t="s">
        <v>512</v>
      </c>
      <c r="AK98" s="656" t="s">
        <v>417</v>
      </c>
      <c r="AL98" s="656" t="s">
        <v>418</v>
      </c>
      <c r="AM98" s="677" t="s">
        <v>419</v>
      </c>
      <c r="AN98" s="683" t="s">
        <v>513</v>
      </c>
    </row>
    <row r="99" spans="1:40" ht="15.75">
      <c r="A99" s="654"/>
      <c r="B99" s="656"/>
      <c r="C99" s="656"/>
      <c r="D99" s="656"/>
      <c r="E99" s="657" t="s">
        <v>421</v>
      </c>
      <c r="F99" s="655">
        <v>76.400000000000006</v>
      </c>
      <c r="G99" s="655">
        <f>+H99+J99+L99+N99+P99+R99+T99+V99+X99+Z99+AB99+AD99+AF99</f>
        <v>12</v>
      </c>
      <c r="H99" s="658">
        <v>1</v>
      </c>
      <c r="I99" s="658">
        <v>0</v>
      </c>
      <c r="J99" s="658">
        <v>3</v>
      </c>
      <c r="K99" s="658">
        <v>0</v>
      </c>
      <c r="L99" s="658">
        <v>6</v>
      </c>
      <c r="M99" s="658">
        <v>0</v>
      </c>
      <c r="N99" s="658">
        <v>0</v>
      </c>
      <c r="O99" s="658">
        <v>0</v>
      </c>
      <c r="P99" s="658">
        <v>1</v>
      </c>
      <c r="Q99" s="658">
        <v>0</v>
      </c>
      <c r="R99" s="658">
        <v>0</v>
      </c>
      <c r="S99" s="658">
        <v>0</v>
      </c>
      <c r="T99" s="658">
        <v>1</v>
      </c>
      <c r="U99" s="658">
        <v>0</v>
      </c>
      <c r="V99" s="658">
        <v>0</v>
      </c>
      <c r="W99" s="658">
        <v>0</v>
      </c>
      <c r="X99" s="658">
        <v>0</v>
      </c>
      <c r="Y99" s="658">
        <v>0</v>
      </c>
      <c r="Z99" s="658">
        <v>0</v>
      </c>
      <c r="AA99" s="658">
        <v>0</v>
      </c>
      <c r="AB99" s="658">
        <v>0</v>
      </c>
      <c r="AC99" s="658">
        <v>0</v>
      </c>
      <c r="AD99" s="658">
        <v>0</v>
      </c>
      <c r="AE99" s="658">
        <v>0</v>
      </c>
      <c r="AF99" s="658">
        <v>0</v>
      </c>
      <c r="AG99" s="658">
        <v>0</v>
      </c>
      <c r="AH99" s="655">
        <v>7</v>
      </c>
      <c r="AI99" s="655">
        <v>5</v>
      </c>
      <c r="AJ99" s="659" t="s">
        <v>514</v>
      </c>
      <c r="AK99" s="656" t="s">
        <v>417</v>
      </c>
      <c r="AL99" s="656" t="s">
        <v>418</v>
      </c>
      <c r="AM99" s="677" t="s">
        <v>419</v>
      </c>
      <c r="AN99" s="683"/>
    </row>
    <row r="100" spans="1:40" ht="15.75">
      <c r="A100" s="634"/>
      <c r="B100" s="629"/>
      <c r="C100" s="629"/>
      <c r="D100" s="629"/>
      <c r="E100" s="630" t="s">
        <v>439</v>
      </c>
      <c r="F100" s="631">
        <v>76.400000000000006</v>
      </c>
      <c r="G100" s="631">
        <f>+H100+J100+L100+N100+P100+R100+T100+V100+X100+Z100+AB100+AD100+AF100</f>
        <v>12</v>
      </c>
      <c r="H100" s="632">
        <v>2</v>
      </c>
      <c r="I100" s="632">
        <v>0</v>
      </c>
      <c r="J100" s="632">
        <v>1</v>
      </c>
      <c r="K100" s="632">
        <v>0</v>
      </c>
      <c r="L100" s="632">
        <v>4</v>
      </c>
      <c r="M100" s="632">
        <v>0</v>
      </c>
      <c r="N100" s="632">
        <v>0</v>
      </c>
      <c r="O100" s="632">
        <v>0</v>
      </c>
      <c r="P100" s="632">
        <v>4</v>
      </c>
      <c r="Q100" s="632">
        <v>0</v>
      </c>
      <c r="R100" s="632">
        <v>0</v>
      </c>
      <c r="S100" s="632">
        <v>0</v>
      </c>
      <c r="T100" s="632">
        <v>1</v>
      </c>
      <c r="U100" s="632">
        <v>0</v>
      </c>
      <c r="V100" s="632">
        <v>0</v>
      </c>
      <c r="W100" s="632">
        <v>0</v>
      </c>
      <c r="X100" s="632">
        <v>0</v>
      </c>
      <c r="Y100" s="632">
        <v>0</v>
      </c>
      <c r="Z100" s="632">
        <v>0</v>
      </c>
      <c r="AA100" s="632">
        <v>0</v>
      </c>
      <c r="AB100" s="632">
        <v>0</v>
      </c>
      <c r="AC100" s="632">
        <v>0</v>
      </c>
      <c r="AD100" s="632">
        <v>0</v>
      </c>
      <c r="AE100" s="632">
        <v>0</v>
      </c>
      <c r="AF100" s="632">
        <v>0</v>
      </c>
      <c r="AG100" s="632">
        <v>0</v>
      </c>
      <c r="AH100" s="631">
        <v>7</v>
      </c>
      <c r="AI100" s="631">
        <v>5</v>
      </c>
      <c r="AJ100" s="633" t="s">
        <v>515</v>
      </c>
      <c r="AK100" s="656" t="s">
        <v>417</v>
      </c>
      <c r="AL100" s="656" t="s">
        <v>418</v>
      </c>
      <c r="AM100" s="677" t="s">
        <v>419</v>
      </c>
      <c r="AN100" s="683"/>
    </row>
    <row r="101" spans="1:40" ht="15.75">
      <c r="A101" s="634" t="s">
        <v>221</v>
      </c>
      <c r="B101" s="629" t="s">
        <v>488</v>
      </c>
      <c r="C101" s="629" t="str">
        <f>VLOOKUP(Tabla6[[#This Row],[SEDE]],'Cronog Junio 2026'!B61:G152,6,0)</f>
        <v>MERCADEO</v>
      </c>
      <c r="D101" s="629" t="str">
        <f>VLOOKUP(Tabla6[[#This Row],[SEDE]],'Cronog Junio 2026'!B61:D152,3,0)</f>
        <v>M011370213</v>
      </c>
      <c r="E101" s="630"/>
      <c r="F101" s="631"/>
      <c r="G101" s="631"/>
      <c r="H101" s="631"/>
      <c r="I101" s="631"/>
      <c r="J101" s="631"/>
      <c r="K101" s="631"/>
      <c r="L101" s="631"/>
      <c r="M101" s="631"/>
      <c r="N101" s="631"/>
      <c r="O101" s="631"/>
      <c r="P101" s="631"/>
      <c r="Q101" s="631"/>
      <c r="R101" s="631"/>
      <c r="S101" s="631"/>
      <c r="T101" s="631"/>
      <c r="U101" s="631"/>
      <c r="V101" s="631"/>
      <c r="W101" s="631"/>
      <c r="X101" s="631"/>
      <c r="Y101" s="631"/>
      <c r="Z101" s="631"/>
      <c r="AA101" s="631"/>
      <c r="AB101" s="631"/>
      <c r="AC101" s="631"/>
      <c r="AD101" s="631"/>
      <c r="AE101" s="631"/>
      <c r="AF101" s="631"/>
      <c r="AG101" s="631"/>
      <c r="AH101" s="631"/>
      <c r="AI101" s="631"/>
      <c r="AJ101" s="633"/>
      <c r="AK101" s="629"/>
      <c r="AL101" s="629"/>
      <c r="AM101" s="629"/>
      <c r="AN101" s="683" t="s">
        <v>513</v>
      </c>
    </row>
    <row r="102" spans="1:40" ht="15.75">
      <c r="A102" s="654" t="s">
        <v>223</v>
      </c>
      <c r="B102" s="656" t="s">
        <v>488</v>
      </c>
      <c r="C102" s="656" t="str">
        <f>VLOOKUP(Tabla6[[#This Row],[SEDE]],'Cronog Junio 2026'!B62:G153,6,0)</f>
        <v>MERCADEO</v>
      </c>
      <c r="D102" s="656" t="str">
        <f>VLOOKUP(Tabla6[[#This Row],[SEDE]],'Cronog Junio 2026'!B62:D153,3,0)</f>
        <v>M030011701</v>
      </c>
      <c r="E102" s="657">
        <v>6</v>
      </c>
      <c r="F102" s="655">
        <v>8</v>
      </c>
      <c r="G102" s="655">
        <f>+H102+J102+L102+N102+P102+R102+T102+V102+X102+Z102+AB102+AD102+AF102</f>
        <v>2</v>
      </c>
      <c r="H102" s="658">
        <v>0</v>
      </c>
      <c r="I102" s="658">
        <v>0</v>
      </c>
      <c r="J102" s="658">
        <v>1</v>
      </c>
      <c r="K102" s="658">
        <v>0</v>
      </c>
      <c r="L102" s="658">
        <v>0</v>
      </c>
      <c r="M102" s="658">
        <v>0</v>
      </c>
      <c r="N102" s="658">
        <v>0</v>
      </c>
      <c r="O102" s="658">
        <v>0</v>
      </c>
      <c r="P102" s="658">
        <v>0</v>
      </c>
      <c r="Q102" s="658">
        <v>0</v>
      </c>
      <c r="R102" s="658">
        <v>0</v>
      </c>
      <c r="S102" s="658">
        <v>0</v>
      </c>
      <c r="T102" s="658">
        <v>0</v>
      </c>
      <c r="U102" s="658">
        <v>0</v>
      </c>
      <c r="V102" s="658">
        <v>1</v>
      </c>
      <c r="W102" s="658">
        <v>0</v>
      </c>
      <c r="X102" s="658">
        <v>0</v>
      </c>
      <c r="Y102" s="658">
        <v>0</v>
      </c>
      <c r="Z102" s="658">
        <v>0</v>
      </c>
      <c r="AA102" s="658">
        <v>0</v>
      </c>
      <c r="AB102" s="658">
        <v>0</v>
      </c>
      <c r="AC102" s="658">
        <v>0</v>
      </c>
      <c r="AD102" s="658">
        <v>0</v>
      </c>
      <c r="AE102" s="658">
        <v>0</v>
      </c>
      <c r="AF102" s="658">
        <v>0</v>
      </c>
      <c r="AG102" s="658">
        <v>0</v>
      </c>
      <c r="AH102" s="655">
        <v>1</v>
      </c>
      <c r="AI102" s="655">
        <v>1</v>
      </c>
      <c r="AJ102" s="659" t="s">
        <v>516</v>
      </c>
      <c r="AK102" s="656" t="s">
        <v>427</v>
      </c>
      <c r="AL102" s="656" t="s">
        <v>418</v>
      </c>
      <c r="AM102" s="677" t="s">
        <v>419</v>
      </c>
      <c r="AN102" s="683" t="s">
        <v>490</v>
      </c>
    </row>
    <row r="103" spans="1:40" ht="15.75">
      <c r="A103" s="634" t="s">
        <v>225</v>
      </c>
      <c r="B103" s="629" t="s">
        <v>488</v>
      </c>
      <c r="C103" s="629" t="str">
        <f>VLOOKUP(Tabla6[[#This Row],[SEDE]],'Cronog Junio 2026'!B63:G154,6,0)</f>
        <v>MERCADEO</v>
      </c>
      <c r="D103" s="629" t="str">
        <f>VLOOKUP(Tabla6[[#This Row],[SEDE]],'Cronog Junio 2026'!B63:D154,3,0)</f>
        <v>M040131701</v>
      </c>
      <c r="E103" s="630"/>
      <c r="F103" s="631"/>
      <c r="G103" s="631">
        <f t="shared" ref="G103:G125" si="5">+H103+J103+L103+N103+P103+R103+T103+V103+X103+Z103+AB103+AD103+AF103</f>
        <v>0</v>
      </c>
      <c r="H103" s="632"/>
      <c r="I103" s="632"/>
      <c r="J103" s="632"/>
      <c r="K103" s="632"/>
      <c r="L103" s="632"/>
      <c r="M103" s="632"/>
      <c r="N103" s="632"/>
      <c r="O103" s="632"/>
      <c r="P103" s="632"/>
      <c r="Q103" s="632"/>
      <c r="R103" s="632"/>
      <c r="S103" s="632"/>
      <c r="T103" s="632"/>
      <c r="U103" s="632"/>
      <c r="V103" s="632"/>
      <c r="W103" s="632"/>
      <c r="X103" s="632"/>
      <c r="Y103" s="632"/>
      <c r="Z103" s="632"/>
      <c r="AA103" s="632"/>
      <c r="AB103" s="632"/>
      <c r="AC103" s="632"/>
      <c r="AD103" s="632"/>
      <c r="AE103" s="632"/>
      <c r="AF103" s="632"/>
      <c r="AG103" s="632"/>
      <c r="AH103" s="631"/>
      <c r="AI103" s="631"/>
      <c r="AJ103" s="633"/>
      <c r="AK103" s="629"/>
      <c r="AL103" s="629"/>
      <c r="AM103" s="629"/>
      <c r="AN103" s="683" t="s">
        <v>490</v>
      </c>
    </row>
    <row r="104" spans="1:40" ht="15.75">
      <c r="A104" s="634" t="s">
        <v>227</v>
      </c>
      <c r="B104" s="629" t="s">
        <v>488</v>
      </c>
      <c r="C104" s="629" t="str">
        <f>VLOOKUP(Tabla6[[#This Row],[SEDE]],'Cronog Junio 2026'!B64:G155,6,0)</f>
        <v>MERCADEO</v>
      </c>
      <c r="D104" s="629" t="str">
        <f>VLOOKUP(Tabla6[[#This Row],[SEDE]],'Cronog Junio 2026'!B64:D155,3,0)</f>
        <v>M040050213</v>
      </c>
      <c r="E104" s="630"/>
      <c r="F104" s="631"/>
      <c r="G104" s="631">
        <f t="shared" si="5"/>
        <v>0</v>
      </c>
      <c r="H104" s="632"/>
      <c r="I104" s="632"/>
      <c r="J104" s="632"/>
      <c r="K104" s="632"/>
      <c r="L104" s="632"/>
      <c r="M104" s="632"/>
      <c r="N104" s="632"/>
      <c r="O104" s="632"/>
      <c r="P104" s="632"/>
      <c r="Q104" s="632"/>
      <c r="R104" s="632"/>
      <c r="S104" s="632"/>
      <c r="T104" s="632"/>
      <c r="U104" s="632"/>
      <c r="V104" s="632"/>
      <c r="W104" s="632"/>
      <c r="X104" s="632"/>
      <c r="Y104" s="632"/>
      <c r="Z104" s="632"/>
      <c r="AA104" s="632"/>
      <c r="AB104" s="632"/>
      <c r="AC104" s="632"/>
      <c r="AD104" s="632"/>
      <c r="AE104" s="632"/>
      <c r="AF104" s="632"/>
      <c r="AG104" s="632"/>
      <c r="AH104" s="631"/>
      <c r="AI104" s="631"/>
      <c r="AJ104" s="633"/>
      <c r="AK104" s="629"/>
      <c r="AL104" s="629"/>
      <c r="AM104" s="629"/>
      <c r="AN104" s="683" t="s">
        <v>506</v>
      </c>
    </row>
    <row r="105" spans="1:40" ht="15.75">
      <c r="A105" s="634" t="s">
        <v>229</v>
      </c>
      <c r="B105" s="629" t="s">
        <v>488</v>
      </c>
      <c r="C105" s="629" t="str">
        <f>VLOOKUP(Tabla6[[#This Row],[SEDE]],'Cronog Junio 2026'!B65:G156,6,0)</f>
        <v>MERCADEO</v>
      </c>
      <c r="D105" s="629" t="str">
        <f>VLOOKUP(Tabla6[[#This Row],[SEDE]],'Cronog Junio 2026'!B65:D156,3,0)</f>
        <v>A060010219</v>
      </c>
      <c r="E105" s="630"/>
      <c r="F105" s="631"/>
      <c r="G105" s="631">
        <f t="shared" si="5"/>
        <v>0</v>
      </c>
      <c r="H105" s="632"/>
      <c r="I105" s="632"/>
      <c r="J105" s="632"/>
      <c r="K105" s="632"/>
      <c r="L105" s="632"/>
      <c r="M105" s="632"/>
      <c r="N105" s="632"/>
      <c r="O105" s="632"/>
      <c r="P105" s="632"/>
      <c r="Q105" s="632"/>
      <c r="R105" s="632"/>
      <c r="S105" s="632"/>
      <c r="T105" s="632"/>
      <c r="U105" s="632"/>
      <c r="V105" s="632"/>
      <c r="W105" s="632"/>
      <c r="X105" s="632"/>
      <c r="Y105" s="632"/>
      <c r="Z105" s="632"/>
      <c r="AA105" s="632"/>
      <c r="AB105" s="632"/>
      <c r="AC105" s="632"/>
      <c r="AD105" s="632"/>
      <c r="AE105" s="632"/>
      <c r="AF105" s="632"/>
      <c r="AG105" s="632"/>
      <c r="AH105" s="631"/>
      <c r="AI105" s="631"/>
      <c r="AJ105" s="633"/>
      <c r="AK105" s="629"/>
      <c r="AL105" s="629"/>
      <c r="AM105" s="629"/>
      <c r="AN105" s="683" t="s">
        <v>510</v>
      </c>
    </row>
    <row r="106" spans="1:40" ht="15.75">
      <c r="A106" s="654" t="s">
        <v>231</v>
      </c>
      <c r="B106" s="656" t="s">
        <v>488</v>
      </c>
      <c r="C106" s="656" t="str">
        <f>VLOOKUP(Tabla6[[#This Row],[SEDE]],'Cronog Junio 2026'!B66:G157,6,0)</f>
        <v>RECREACION</v>
      </c>
      <c r="D106" s="656" t="str">
        <f>VLOOKUP(Tabla6[[#This Row],[SEDE]],'Cronog Junio 2026'!B66:D157,3,0)</f>
        <v>R030060205</v>
      </c>
      <c r="E106" s="657" t="s">
        <v>233</v>
      </c>
      <c r="F106" s="655">
        <v>152</v>
      </c>
      <c r="G106" s="631">
        <f t="shared" si="5"/>
        <v>50</v>
      </c>
      <c r="H106" s="658">
        <v>0</v>
      </c>
      <c r="I106" s="658">
        <v>0</v>
      </c>
      <c r="J106" s="658">
        <v>5</v>
      </c>
      <c r="K106" s="658">
        <v>0</v>
      </c>
      <c r="L106" s="658">
        <v>34</v>
      </c>
      <c r="M106" s="658">
        <v>0</v>
      </c>
      <c r="N106" s="658">
        <v>1</v>
      </c>
      <c r="O106" s="658">
        <v>0</v>
      </c>
      <c r="P106" s="658">
        <v>0</v>
      </c>
      <c r="Q106" s="658">
        <v>0</v>
      </c>
      <c r="R106" s="658">
        <v>0</v>
      </c>
      <c r="S106" s="658">
        <v>0</v>
      </c>
      <c r="T106" s="658">
        <v>0</v>
      </c>
      <c r="U106" s="658">
        <v>0</v>
      </c>
      <c r="V106" s="658">
        <v>0</v>
      </c>
      <c r="W106" s="658">
        <v>0</v>
      </c>
      <c r="X106" s="658">
        <v>5</v>
      </c>
      <c r="Y106" s="658">
        <v>0</v>
      </c>
      <c r="Z106" s="658">
        <v>0</v>
      </c>
      <c r="AA106" s="658">
        <v>0</v>
      </c>
      <c r="AB106" s="658">
        <v>5</v>
      </c>
      <c r="AC106" s="658">
        <v>0</v>
      </c>
      <c r="AD106" s="658">
        <v>0</v>
      </c>
      <c r="AE106" s="658">
        <v>0</v>
      </c>
      <c r="AF106" s="658">
        <v>0</v>
      </c>
      <c r="AG106" s="658">
        <v>0</v>
      </c>
      <c r="AH106" s="655">
        <v>12</v>
      </c>
      <c r="AI106" s="655">
        <v>38</v>
      </c>
      <c r="AJ106" s="659" t="s">
        <v>517</v>
      </c>
      <c r="AK106" s="656" t="s">
        <v>417</v>
      </c>
      <c r="AL106" s="656" t="s">
        <v>418</v>
      </c>
      <c r="AM106" s="677" t="s">
        <v>419</v>
      </c>
      <c r="AN106" s="683" t="s">
        <v>490</v>
      </c>
    </row>
    <row r="107" spans="1:40" ht="15.75">
      <c r="A107" s="634" t="s">
        <v>234</v>
      </c>
      <c r="B107" s="629" t="s">
        <v>488</v>
      </c>
      <c r="C107" s="629" t="str">
        <f>VLOOKUP(Tabla6[[#This Row],[SEDE]],'Cronog Junio 2026'!B67:G158,6,0)</f>
        <v>EDUCACION</v>
      </c>
      <c r="D107" s="629" t="str">
        <f>VLOOKUP(Tabla6[[#This Row],[SEDE]],'Cronog Junio 2026'!B67:D158,3,0)</f>
        <v>E030026005</v>
      </c>
      <c r="E107" s="630">
        <v>11</v>
      </c>
      <c r="F107" s="631">
        <v>16</v>
      </c>
      <c r="G107" s="631">
        <f t="shared" si="5"/>
        <v>4</v>
      </c>
      <c r="H107" s="632">
        <v>0</v>
      </c>
      <c r="I107" s="632">
        <v>0</v>
      </c>
      <c r="J107" s="632">
        <v>1</v>
      </c>
      <c r="K107" s="632">
        <v>0</v>
      </c>
      <c r="L107" s="632">
        <v>0</v>
      </c>
      <c r="M107" s="632">
        <v>0</v>
      </c>
      <c r="N107" s="632">
        <v>0</v>
      </c>
      <c r="O107" s="632">
        <v>0</v>
      </c>
      <c r="P107" s="632">
        <v>0</v>
      </c>
      <c r="Q107" s="632">
        <v>0</v>
      </c>
      <c r="R107" s="632">
        <v>0</v>
      </c>
      <c r="S107" s="632">
        <v>0</v>
      </c>
      <c r="T107" s="632">
        <v>0</v>
      </c>
      <c r="U107" s="632">
        <v>0</v>
      </c>
      <c r="V107" s="632">
        <v>0</v>
      </c>
      <c r="W107" s="632">
        <v>0</v>
      </c>
      <c r="X107" s="632">
        <v>1</v>
      </c>
      <c r="Y107" s="632">
        <v>0</v>
      </c>
      <c r="Z107" s="632">
        <v>0</v>
      </c>
      <c r="AA107" s="632">
        <v>0</v>
      </c>
      <c r="AB107" s="632">
        <v>2</v>
      </c>
      <c r="AC107" s="632">
        <v>0</v>
      </c>
      <c r="AD107" s="632">
        <v>0</v>
      </c>
      <c r="AE107" s="632">
        <v>0</v>
      </c>
      <c r="AF107" s="632">
        <v>0</v>
      </c>
      <c r="AG107" s="632">
        <v>0</v>
      </c>
      <c r="AH107" s="631">
        <v>1</v>
      </c>
      <c r="AI107" s="631">
        <v>3</v>
      </c>
      <c r="AJ107" s="633" t="s">
        <v>518</v>
      </c>
      <c r="AK107" s="629" t="s">
        <v>417</v>
      </c>
      <c r="AL107" s="629" t="s">
        <v>418</v>
      </c>
      <c r="AM107" s="677" t="s">
        <v>419</v>
      </c>
      <c r="AN107" s="683" t="s">
        <v>490</v>
      </c>
    </row>
    <row r="108" spans="1:40" ht="15.75">
      <c r="A108" s="634" t="s">
        <v>236</v>
      </c>
      <c r="B108" s="629" t="s">
        <v>488</v>
      </c>
      <c r="C108" s="629" t="str">
        <f>VLOOKUP(Tabla6[[#This Row],[SEDE]],'Cronog Junio 2026'!B68:G159,6,0)</f>
        <v>EDUCACION</v>
      </c>
      <c r="D108" s="629" t="str">
        <f>VLOOKUP(Tabla6[[#This Row],[SEDE]],'Cronog Junio 2026'!B68:D159,3,0)</f>
        <v xml:space="preserve">ORD500782 </v>
      </c>
      <c r="E108" s="630" t="s">
        <v>237</v>
      </c>
      <c r="F108" s="631">
        <v>64</v>
      </c>
      <c r="G108" s="631">
        <f t="shared" si="5"/>
        <v>8</v>
      </c>
      <c r="H108" s="632">
        <v>0</v>
      </c>
      <c r="I108" s="632">
        <v>0</v>
      </c>
      <c r="J108" s="632">
        <v>1</v>
      </c>
      <c r="K108" s="632">
        <v>0</v>
      </c>
      <c r="L108" s="632">
        <v>2</v>
      </c>
      <c r="M108" s="632">
        <v>0</v>
      </c>
      <c r="N108" s="632">
        <v>0</v>
      </c>
      <c r="O108" s="632">
        <v>0</v>
      </c>
      <c r="P108" s="632">
        <v>0</v>
      </c>
      <c r="Q108" s="632">
        <v>0</v>
      </c>
      <c r="R108" s="632">
        <v>1</v>
      </c>
      <c r="S108" s="632">
        <v>0</v>
      </c>
      <c r="T108" s="632">
        <v>1</v>
      </c>
      <c r="U108" s="632">
        <v>0</v>
      </c>
      <c r="V108" s="632">
        <v>1</v>
      </c>
      <c r="W108" s="632">
        <v>0</v>
      </c>
      <c r="X108" s="632">
        <v>1</v>
      </c>
      <c r="Y108" s="632">
        <v>0</v>
      </c>
      <c r="Z108" s="632">
        <v>0</v>
      </c>
      <c r="AA108" s="632">
        <v>0</v>
      </c>
      <c r="AB108" s="632">
        <v>1</v>
      </c>
      <c r="AC108" s="632">
        <v>0</v>
      </c>
      <c r="AD108" s="632">
        <v>0</v>
      </c>
      <c r="AE108" s="632">
        <v>0</v>
      </c>
      <c r="AF108" s="632">
        <v>0</v>
      </c>
      <c r="AG108" s="632">
        <v>0</v>
      </c>
      <c r="AH108" s="631">
        <v>5</v>
      </c>
      <c r="AI108" s="631">
        <v>3</v>
      </c>
      <c r="AJ108" s="633" t="s">
        <v>519</v>
      </c>
      <c r="AK108" s="629" t="s">
        <v>417</v>
      </c>
      <c r="AL108" s="629" t="s">
        <v>418</v>
      </c>
      <c r="AM108" s="629" t="s">
        <v>418</v>
      </c>
      <c r="AN108" s="683" t="s">
        <v>490</v>
      </c>
    </row>
    <row r="109" spans="1:40" ht="15.75">
      <c r="A109" s="634" t="s">
        <v>238</v>
      </c>
      <c r="B109" s="629" t="s">
        <v>488</v>
      </c>
      <c r="C109" s="629" t="str">
        <f>VLOOKUP(Tabla6[[#This Row],[SEDE]],'Cronog Junio 2026'!B69:G160,6,0)</f>
        <v>FOMENTO</v>
      </c>
      <c r="D109" s="629" t="str">
        <f>VLOOKUP(Tabla6[[#This Row],[SEDE]],'Cronog Junio 2026'!B69:D160,3,0)</f>
        <v xml:space="preserve">ORD500782 </v>
      </c>
      <c r="E109" s="630"/>
      <c r="F109" s="631"/>
      <c r="G109" s="631">
        <f t="shared" si="5"/>
        <v>0</v>
      </c>
      <c r="H109" s="632"/>
      <c r="I109" s="632"/>
      <c r="J109" s="632"/>
      <c r="K109" s="632"/>
      <c r="L109" s="632"/>
      <c r="M109" s="632"/>
      <c r="N109" s="632"/>
      <c r="O109" s="632"/>
      <c r="P109" s="632"/>
      <c r="Q109" s="632"/>
      <c r="R109" s="632"/>
      <c r="S109" s="632"/>
      <c r="T109" s="632"/>
      <c r="U109" s="632"/>
      <c r="V109" s="632"/>
      <c r="W109" s="632"/>
      <c r="X109" s="632"/>
      <c r="Y109" s="632"/>
      <c r="Z109" s="632"/>
      <c r="AA109" s="632"/>
      <c r="AB109" s="632"/>
      <c r="AC109" s="632"/>
      <c r="AD109" s="632"/>
      <c r="AE109" s="632"/>
      <c r="AF109" s="632"/>
      <c r="AG109" s="632"/>
      <c r="AH109" s="631"/>
      <c r="AI109" s="631"/>
      <c r="AJ109" s="633"/>
      <c r="AK109" s="629"/>
      <c r="AL109" s="629"/>
      <c r="AM109" s="629"/>
      <c r="AN109" s="683" t="s">
        <v>506</v>
      </c>
    </row>
    <row r="110" spans="1:40" ht="15.75">
      <c r="A110" s="634" t="s">
        <v>239</v>
      </c>
      <c r="B110" s="629" t="s">
        <v>488</v>
      </c>
      <c r="C110" s="629" t="str">
        <f>VLOOKUP(Tabla6[[#This Row],[SEDE]],'Cronog Junio 2026'!B70:G161,6,0)</f>
        <v>EDUCACION</v>
      </c>
      <c r="D110" s="629" t="str">
        <f>VLOOKUP(Tabla6[[#This Row],[SEDE]],'Cronog Junio 2026'!B70:D161,3,0)</f>
        <v>A040010224</v>
      </c>
      <c r="E110" s="630"/>
      <c r="F110" s="631"/>
      <c r="G110" s="631">
        <f t="shared" si="5"/>
        <v>0</v>
      </c>
      <c r="H110" s="632"/>
      <c r="I110" s="632"/>
      <c r="J110" s="632"/>
      <c r="K110" s="632"/>
      <c r="L110" s="632"/>
      <c r="M110" s="632"/>
      <c r="N110" s="632"/>
      <c r="O110" s="632"/>
      <c r="P110" s="632"/>
      <c r="Q110" s="632"/>
      <c r="R110" s="632"/>
      <c r="S110" s="632"/>
      <c r="T110" s="632"/>
      <c r="U110" s="632"/>
      <c r="V110" s="632"/>
      <c r="W110" s="632"/>
      <c r="X110" s="632"/>
      <c r="Y110" s="632"/>
      <c r="Z110" s="632"/>
      <c r="AA110" s="632"/>
      <c r="AB110" s="632"/>
      <c r="AC110" s="632"/>
      <c r="AD110" s="632"/>
      <c r="AE110" s="632"/>
      <c r="AF110" s="632"/>
      <c r="AG110" s="632"/>
      <c r="AH110" s="631"/>
      <c r="AI110" s="631"/>
      <c r="AJ110" s="633"/>
      <c r="AK110" s="629"/>
      <c r="AL110" s="629"/>
      <c r="AM110" s="629"/>
      <c r="AN110" s="683" t="s">
        <v>506</v>
      </c>
    </row>
    <row r="111" spans="1:40" ht="15.75">
      <c r="A111" s="634" t="s">
        <v>241</v>
      </c>
      <c r="B111" s="629" t="s">
        <v>488</v>
      </c>
      <c r="C111" s="629" t="str">
        <f>VLOOKUP(Tabla6[[#This Row],[SEDE]],'Cronog Junio 2026'!B71:G162,6,0)</f>
        <v>ADMINISTRATIVO</v>
      </c>
      <c r="D111" s="629" t="str">
        <f>VLOOKUP(Tabla6[[#This Row],[SEDE]],'Cronog Junio 2026'!B71:D162,3,0)</f>
        <v>A040010219</v>
      </c>
      <c r="E111" s="630"/>
      <c r="F111" s="631"/>
      <c r="G111" s="631">
        <f t="shared" si="5"/>
        <v>0</v>
      </c>
      <c r="H111" s="632"/>
      <c r="I111" s="632"/>
      <c r="J111" s="632"/>
      <c r="K111" s="632"/>
      <c r="L111" s="632"/>
      <c r="M111" s="632"/>
      <c r="N111" s="632"/>
      <c r="O111" s="632"/>
      <c r="P111" s="632"/>
      <c r="Q111" s="632"/>
      <c r="R111" s="632"/>
      <c r="S111" s="632"/>
      <c r="T111" s="632"/>
      <c r="U111" s="632"/>
      <c r="V111" s="632"/>
      <c r="W111" s="632"/>
      <c r="X111" s="632"/>
      <c r="Y111" s="632"/>
      <c r="Z111" s="632"/>
      <c r="AA111" s="632"/>
      <c r="AB111" s="632"/>
      <c r="AC111" s="632"/>
      <c r="AD111" s="632"/>
      <c r="AE111" s="632"/>
      <c r="AF111" s="632"/>
      <c r="AG111" s="632"/>
      <c r="AH111" s="631"/>
      <c r="AI111" s="631"/>
      <c r="AJ111" s="633"/>
      <c r="AK111" s="629"/>
      <c r="AL111" s="629"/>
      <c r="AM111" s="629"/>
      <c r="AN111" s="683" t="s">
        <v>506</v>
      </c>
    </row>
    <row r="112" spans="1:40" ht="15.75">
      <c r="A112" s="634" t="s">
        <v>243</v>
      </c>
      <c r="B112" s="629" t="s">
        <v>488</v>
      </c>
      <c r="C112" s="629" t="str">
        <f>VLOOKUP(Tabla6[[#This Row],[SEDE]],'Cronog Junio 2026'!B72:G163,6,0)</f>
        <v>RECREATIVO</v>
      </c>
      <c r="D112" s="629" t="str">
        <f>VLOOKUP(Tabla6[[#This Row],[SEDE]],'Cronog Junio 2026'!B72:D163,3,0)</f>
        <v>R040070205</v>
      </c>
      <c r="E112" s="630"/>
      <c r="F112" s="631"/>
      <c r="G112" s="631">
        <f t="shared" si="5"/>
        <v>0</v>
      </c>
      <c r="H112" s="632"/>
      <c r="I112" s="632"/>
      <c r="J112" s="632"/>
      <c r="K112" s="632"/>
      <c r="L112" s="632"/>
      <c r="M112" s="632"/>
      <c r="N112" s="632"/>
      <c r="O112" s="632"/>
      <c r="P112" s="632"/>
      <c r="Q112" s="632"/>
      <c r="R112" s="632"/>
      <c r="S112" s="632"/>
      <c r="T112" s="632"/>
      <c r="U112" s="632"/>
      <c r="V112" s="632"/>
      <c r="W112" s="632"/>
      <c r="X112" s="632"/>
      <c r="Y112" s="632"/>
      <c r="Z112" s="632"/>
      <c r="AA112" s="632"/>
      <c r="AB112" s="632"/>
      <c r="AC112" s="632"/>
      <c r="AD112" s="632"/>
      <c r="AE112" s="632"/>
      <c r="AF112" s="632"/>
      <c r="AG112" s="632"/>
      <c r="AH112" s="631"/>
      <c r="AI112" s="631"/>
      <c r="AJ112" s="633"/>
      <c r="AK112" s="629"/>
      <c r="AL112" s="629"/>
      <c r="AM112" s="629"/>
      <c r="AN112" s="683" t="s">
        <v>506</v>
      </c>
    </row>
    <row r="113" spans="1:40" ht="15.75">
      <c r="A113" s="634" t="s">
        <v>246</v>
      </c>
      <c r="B113" s="629" t="s">
        <v>488</v>
      </c>
      <c r="C113" s="629" t="str">
        <f>VLOOKUP(Tabla6[[#This Row],[SEDE]],'Cronog Junio 2026'!B73:G164,6,0)</f>
        <v>SALUD</v>
      </c>
      <c r="D113" s="629" t="str">
        <f>VLOOKUP(Tabla6[[#This Row],[SEDE]],'Cronog Junio 2026'!B73:D164,3,0)</f>
        <v>S040060205</v>
      </c>
      <c r="E113" s="630" t="s">
        <v>415</v>
      </c>
      <c r="F113" s="631">
        <v>108</v>
      </c>
      <c r="G113" s="631">
        <f>+H113+J113+L113+N113+P113+R113+T113+V113+X113+Z113+AB113+AD113+AF113</f>
        <v>21</v>
      </c>
      <c r="H113" s="632">
        <v>1</v>
      </c>
      <c r="I113" s="632">
        <v>0</v>
      </c>
      <c r="J113" s="632">
        <v>0</v>
      </c>
      <c r="K113" s="632">
        <v>0</v>
      </c>
      <c r="L113" s="632">
        <v>13</v>
      </c>
      <c r="M113" s="632">
        <v>0</v>
      </c>
      <c r="N113" s="632">
        <v>0</v>
      </c>
      <c r="O113" s="632">
        <v>0</v>
      </c>
      <c r="P113" s="632">
        <v>1</v>
      </c>
      <c r="Q113" s="632">
        <v>0</v>
      </c>
      <c r="R113" s="632">
        <v>1</v>
      </c>
      <c r="S113" s="632">
        <v>0</v>
      </c>
      <c r="T113" s="632">
        <v>5</v>
      </c>
      <c r="U113" s="632">
        <v>0</v>
      </c>
      <c r="V113" s="632">
        <v>0</v>
      </c>
      <c r="W113" s="632">
        <v>0</v>
      </c>
      <c r="X113" s="632">
        <v>0</v>
      </c>
      <c r="Y113" s="632">
        <v>0</v>
      </c>
      <c r="Z113" s="632">
        <v>0</v>
      </c>
      <c r="AA113" s="632">
        <v>0</v>
      </c>
      <c r="AB113" s="632">
        <v>0</v>
      </c>
      <c r="AC113" s="632">
        <v>0</v>
      </c>
      <c r="AD113" s="632">
        <v>0</v>
      </c>
      <c r="AE113" s="632">
        <v>0</v>
      </c>
      <c r="AF113" s="632">
        <v>0</v>
      </c>
      <c r="AG113" s="632">
        <v>0</v>
      </c>
      <c r="AH113" s="631">
        <v>16</v>
      </c>
      <c r="AI113" s="631">
        <v>5</v>
      </c>
      <c r="AJ113" s="633" t="s">
        <v>520</v>
      </c>
      <c r="AK113" s="656" t="s">
        <v>427</v>
      </c>
      <c r="AL113" s="629"/>
      <c r="AM113" s="629"/>
      <c r="AN113" s="683" t="s">
        <v>506</v>
      </c>
    </row>
    <row r="114" spans="1:40" ht="15.75">
      <c r="A114" s="634"/>
      <c r="B114" s="629"/>
      <c r="C114" s="629"/>
      <c r="D114" s="629"/>
      <c r="E114" s="630" t="s">
        <v>521</v>
      </c>
      <c r="F114" s="631">
        <v>76</v>
      </c>
      <c r="G114" s="631">
        <f>+H114+J114+L114+N114+P114+R114+T114+V114+X114+Z114+AB114+AD114+AF114</f>
        <v>13</v>
      </c>
      <c r="H114" s="632">
        <v>0</v>
      </c>
      <c r="I114" s="632">
        <v>0</v>
      </c>
      <c r="J114" s="632">
        <v>1</v>
      </c>
      <c r="K114" s="632">
        <v>0</v>
      </c>
      <c r="L114" s="632">
        <v>7</v>
      </c>
      <c r="M114" s="632">
        <v>0</v>
      </c>
      <c r="N114" s="632">
        <v>2</v>
      </c>
      <c r="O114" s="632">
        <v>0</v>
      </c>
      <c r="P114" s="632">
        <v>0</v>
      </c>
      <c r="Q114" s="632">
        <v>0</v>
      </c>
      <c r="R114" s="632">
        <v>0</v>
      </c>
      <c r="S114" s="632">
        <v>0</v>
      </c>
      <c r="T114" s="632">
        <v>3</v>
      </c>
      <c r="U114" s="632">
        <v>0</v>
      </c>
      <c r="V114" s="632">
        <v>0</v>
      </c>
      <c r="W114" s="632">
        <v>0</v>
      </c>
      <c r="X114" s="632">
        <v>0</v>
      </c>
      <c r="Y114" s="632">
        <v>0</v>
      </c>
      <c r="Z114" s="632">
        <v>0</v>
      </c>
      <c r="AA114" s="632">
        <v>0</v>
      </c>
      <c r="AB114" s="632">
        <v>0</v>
      </c>
      <c r="AC114" s="632">
        <v>0</v>
      </c>
      <c r="AD114" s="632">
        <v>0</v>
      </c>
      <c r="AE114" s="632">
        <v>0</v>
      </c>
      <c r="AF114" s="632">
        <v>0</v>
      </c>
      <c r="AG114" s="632">
        <v>0</v>
      </c>
      <c r="AH114" s="631">
        <v>7</v>
      </c>
      <c r="AI114" s="631">
        <v>6</v>
      </c>
      <c r="AJ114" s="633" t="s">
        <v>522</v>
      </c>
      <c r="AK114" s="629" t="s">
        <v>417</v>
      </c>
      <c r="AL114" s="629" t="s">
        <v>418</v>
      </c>
      <c r="AM114" s="629" t="s">
        <v>418</v>
      </c>
      <c r="AN114" s="683"/>
    </row>
    <row r="115" spans="1:40" ht="15.75">
      <c r="A115" s="634" t="s">
        <v>249</v>
      </c>
      <c r="B115" s="629" t="s">
        <v>488</v>
      </c>
      <c r="C115" s="629" t="str">
        <f>VLOOKUP(Tabla6[[#This Row],[SEDE]],'Cronog Junio 2026'!B74:G165,6,0)</f>
        <v>SALUD</v>
      </c>
      <c r="D115" s="629" t="str">
        <f>VLOOKUP(Tabla6[[#This Row],[SEDE]],'Cronog Junio 2026'!B74:D165,3,0)</f>
        <v>S060010205</v>
      </c>
      <c r="E115" s="630" t="s">
        <v>251</v>
      </c>
      <c r="F115" s="631">
        <v>152</v>
      </c>
      <c r="G115" s="631">
        <v>28</v>
      </c>
      <c r="H115" s="631">
        <v>3</v>
      </c>
      <c r="I115" s="631">
        <v>0</v>
      </c>
      <c r="J115" s="631">
        <v>1</v>
      </c>
      <c r="K115" s="631">
        <v>0</v>
      </c>
      <c r="L115" s="631">
        <v>7</v>
      </c>
      <c r="M115" s="631">
        <v>0</v>
      </c>
      <c r="N115" s="631">
        <v>1</v>
      </c>
      <c r="O115" s="631">
        <v>0</v>
      </c>
      <c r="P115" s="631">
        <v>2</v>
      </c>
      <c r="Q115" s="631">
        <v>0</v>
      </c>
      <c r="R115" s="631">
        <v>2</v>
      </c>
      <c r="S115" s="631">
        <v>0</v>
      </c>
      <c r="T115" s="631">
        <v>2</v>
      </c>
      <c r="U115" s="631">
        <v>0</v>
      </c>
      <c r="V115" s="631">
        <v>0</v>
      </c>
      <c r="W115" s="631">
        <v>0</v>
      </c>
      <c r="X115" s="631">
        <v>8</v>
      </c>
      <c r="Y115" s="631">
        <v>0</v>
      </c>
      <c r="Z115" s="631">
        <v>1</v>
      </c>
      <c r="AA115" s="631">
        <v>0</v>
      </c>
      <c r="AB115" s="631">
        <v>1</v>
      </c>
      <c r="AC115" s="631">
        <v>0</v>
      </c>
      <c r="AD115" s="631">
        <v>0</v>
      </c>
      <c r="AE115" s="631">
        <v>0</v>
      </c>
      <c r="AF115" s="631">
        <v>0</v>
      </c>
      <c r="AG115" s="631">
        <v>0</v>
      </c>
      <c r="AH115" s="631">
        <v>22</v>
      </c>
      <c r="AI115" s="631">
        <v>6</v>
      </c>
      <c r="AJ115" s="633" t="s">
        <v>523</v>
      </c>
      <c r="AK115" s="629" t="s">
        <v>417</v>
      </c>
      <c r="AL115" s="629" t="s">
        <v>418</v>
      </c>
      <c r="AM115" s="629" t="s">
        <v>418</v>
      </c>
      <c r="AN115" s="683" t="s">
        <v>510</v>
      </c>
    </row>
    <row r="116" spans="1:40" ht="15.75">
      <c r="A116" s="634" t="s">
        <v>252</v>
      </c>
      <c r="B116" s="629" t="s">
        <v>488</v>
      </c>
      <c r="C116" s="629" t="str">
        <f>VLOOKUP(Tabla6[[#This Row],[SEDE]],'Cronog Junio 2026'!B75:G166,6,0)</f>
        <v>FOMENTO</v>
      </c>
      <c r="D116" s="629" t="str">
        <f>VLOOKUP(Tabla6[[#This Row],[SEDE]],'Cronog Junio 2026'!B75:D166,3,0)</f>
        <v xml:space="preserve">ORD500782 </v>
      </c>
      <c r="E116" s="630" t="s">
        <v>253</v>
      </c>
      <c r="F116" s="631">
        <v>32</v>
      </c>
      <c r="G116" s="631">
        <v>7</v>
      </c>
      <c r="H116" s="632">
        <v>1</v>
      </c>
      <c r="I116" s="632">
        <v>0</v>
      </c>
      <c r="J116" s="632">
        <v>2</v>
      </c>
      <c r="K116" s="632">
        <v>0</v>
      </c>
      <c r="L116" s="632">
        <v>0</v>
      </c>
      <c r="M116" s="632">
        <v>0</v>
      </c>
      <c r="N116" s="632">
        <v>1</v>
      </c>
      <c r="O116" s="632">
        <v>0</v>
      </c>
      <c r="P116" s="632">
        <v>0</v>
      </c>
      <c r="Q116" s="632">
        <v>0</v>
      </c>
      <c r="R116" s="632">
        <v>2</v>
      </c>
      <c r="S116" s="632">
        <v>0</v>
      </c>
      <c r="T116" s="632">
        <v>0</v>
      </c>
      <c r="U116" s="632">
        <v>0</v>
      </c>
      <c r="V116" s="632">
        <v>1</v>
      </c>
      <c r="W116" s="632">
        <v>0</v>
      </c>
      <c r="X116" s="632">
        <v>0</v>
      </c>
      <c r="Y116" s="632">
        <v>0</v>
      </c>
      <c r="Z116" s="632">
        <v>0</v>
      </c>
      <c r="AA116" s="632">
        <v>0</v>
      </c>
      <c r="AB116" s="632">
        <v>0</v>
      </c>
      <c r="AC116" s="632">
        <v>0</v>
      </c>
      <c r="AD116" s="632">
        <v>0</v>
      </c>
      <c r="AE116" s="632">
        <v>0</v>
      </c>
      <c r="AF116" s="632">
        <v>0</v>
      </c>
      <c r="AG116" s="632">
        <v>0</v>
      </c>
      <c r="AH116" s="631">
        <v>3</v>
      </c>
      <c r="AI116" s="631">
        <v>4</v>
      </c>
      <c r="AJ116" s="633" t="s">
        <v>524</v>
      </c>
      <c r="AK116" s="629" t="s">
        <v>417</v>
      </c>
      <c r="AL116" s="629" t="s">
        <v>418</v>
      </c>
      <c r="AM116" s="629" t="s">
        <v>418</v>
      </c>
      <c r="AN116" s="683" t="s">
        <v>513</v>
      </c>
    </row>
    <row r="117" spans="1:40" ht="15.75">
      <c r="A117" s="634" t="s">
        <v>254</v>
      </c>
      <c r="B117" s="629" t="s">
        <v>488</v>
      </c>
      <c r="C117" s="629" t="str">
        <f>VLOOKUP(Tabla6[[#This Row],[SEDE]],'Cronog Junio 2026'!B76:G167,6,0)</f>
        <v>EDUCACIÓN</v>
      </c>
      <c r="D117" s="629" t="str">
        <f>VLOOKUP(Tabla6[[#This Row],[SEDE]],'Cronog Junio 2026'!B76:D167,3,0)</f>
        <v>E020106101</v>
      </c>
      <c r="E117" s="630" t="s">
        <v>257</v>
      </c>
      <c r="F117" s="631">
        <v>32</v>
      </c>
      <c r="G117" s="631">
        <v>8</v>
      </c>
      <c r="H117" s="632">
        <v>1</v>
      </c>
      <c r="I117" s="632">
        <v>0</v>
      </c>
      <c r="J117" s="632">
        <v>2</v>
      </c>
      <c r="K117" s="632">
        <v>0</v>
      </c>
      <c r="L117" s="632">
        <v>0</v>
      </c>
      <c r="M117" s="632">
        <v>0</v>
      </c>
      <c r="N117" s="632">
        <v>1</v>
      </c>
      <c r="O117" s="632">
        <v>0</v>
      </c>
      <c r="P117" s="632">
        <v>1</v>
      </c>
      <c r="Q117" s="632">
        <v>0</v>
      </c>
      <c r="R117" s="632">
        <v>2</v>
      </c>
      <c r="S117" s="632">
        <v>0</v>
      </c>
      <c r="T117" s="632">
        <v>0</v>
      </c>
      <c r="U117" s="632">
        <v>0</v>
      </c>
      <c r="V117" s="632">
        <v>0</v>
      </c>
      <c r="W117" s="632">
        <v>0</v>
      </c>
      <c r="X117" s="632">
        <v>1</v>
      </c>
      <c r="Y117" s="632">
        <v>0</v>
      </c>
      <c r="Z117" s="632">
        <v>0</v>
      </c>
      <c r="AA117" s="632">
        <v>0</v>
      </c>
      <c r="AB117" s="632">
        <v>0</v>
      </c>
      <c r="AC117" s="632">
        <v>0</v>
      </c>
      <c r="AD117" s="632">
        <v>0</v>
      </c>
      <c r="AE117" s="632">
        <v>0</v>
      </c>
      <c r="AF117" s="632">
        <v>0</v>
      </c>
      <c r="AG117" s="632">
        <v>0</v>
      </c>
      <c r="AH117" s="631">
        <v>2</v>
      </c>
      <c r="AI117" s="631">
        <v>6</v>
      </c>
      <c r="AJ117" s="633" t="s">
        <v>525</v>
      </c>
      <c r="AK117" s="629" t="s">
        <v>417</v>
      </c>
      <c r="AL117" s="629" t="s">
        <v>418</v>
      </c>
      <c r="AM117" s="629" t="s">
        <v>418</v>
      </c>
      <c r="AN117" s="683" t="s">
        <v>513</v>
      </c>
    </row>
    <row r="118" spans="1:40" ht="15.75">
      <c r="A118" s="634" t="s">
        <v>258</v>
      </c>
      <c r="B118" s="629" t="s">
        <v>488</v>
      </c>
      <c r="C118" s="629" t="str">
        <f>VLOOKUP(Tabla6[[#This Row],[SEDE]],'Cronog Junio 2026'!B77:G168,6,0)</f>
        <v>EDUCACIÓN</v>
      </c>
      <c r="D118" s="629" t="str">
        <f>VLOOKUP(Tabla6[[#This Row],[SEDE]],'Cronog Junio 2026'!B77:D168,3,0)</f>
        <v>E020010205</v>
      </c>
      <c r="E118" s="630"/>
      <c r="F118" s="631"/>
      <c r="G118" s="631">
        <f t="shared" si="5"/>
        <v>0</v>
      </c>
      <c r="H118" s="632"/>
      <c r="I118" s="632"/>
      <c r="J118" s="632"/>
      <c r="K118" s="632"/>
      <c r="L118" s="632"/>
      <c r="M118" s="632"/>
      <c r="N118" s="632"/>
      <c r="O118" s="632"/>
      <c r="P118" s="632"/>
      <c r="Q118" s="632"/>
      <c r="R118" s="632"/>
      <c r="S118" s="632"/>
      <c r="T118" s="632"/>
      <c r="U118" s="632"/>
      <c r="V118" s="632"/>
      <c r="W118" s="632"/>
      <c r="X118" s="632"/>
      <c r="Y118" s="632"/>
      <c r="Z118" s="632"/>
      <c r="AA118" s="632"/>
      <c r="AB118" s="632"/>
      <c r="AC118" s="632"/>
      <c r="AD118" s="632"/>
      <c r="AE118" s="632"/>
      <c r="AF118" s="632"/>
      <c r="AG118" s="632"/>
      <c r="AH118" s="631"/>
      <c r="AI118" s="631"/>
      <c r="AJ118" s="633"/>
      <c r="AK118" s="629"/>
      <c r="AL118" s="629"/>
      <c r="AM118" s="629"/>
      <c r="AN118" s="683" t="s">
        <v>513</v>
      </c>
    </row>
    <row r="119" spans="1:40" ht="15.75">
      <c r="A119" s="634" t="s">
        <v>260</v>
      </c>
      <c r="B119" s="629" t="s">
        <v>488</v>
      </c>
      <c r="C119" s="629" t="str">
        <f>VLOOKUP(Tabla6[[#This Row],[SEDE]],'Cronog Junio 2026'!B78:G169,6,0)</f>
        <v>EDUCACIÓN</v>
      </c>
      <c r="D119" s="629" t="str">
        <f>VLOOKUP(Tabla6[[#This Row],[SEDE]],'Cronog Junio 2026'!B78:D169,3,0)</f>
        <v>E020010205</v>
      </c>
      <c r="E119" s="630">
        <v>16</v>
      </c>
      <c r="F119" s="631">
        <v>16</v>
      </c>
      <c r="G119" s="631">
        <f>+H119+J119+L119+N119+P119+R119+T119+V119+X119+Z119+AB119+AD119+AF119</f>
        <v>3</v>
      </c>
      <c r="H119" s="632">
        <v>0</v>
      </c>
      <c r="I119" s="632">
        <v>0</v>
      </c>
      <c r="J119" s="632">
        <v>1</v>
      </c>
      <c r="K119" s="632">
        <v>0</v>
      </c>
      <c r="L119" s="632">
        <v>0</v>
      </c>
      <c r="M119" s="632">
        <v>0</v>
      </c>
      <c r="N119" s="632">
        <v>0</v>
      </c>
      <c r="O119" s="632">
        <v>0</v>
      </c>
      <c r="P119" s="632">
        <v>0</v>
      </c>
      <c r="Q119" s="632">
        <v>0</v>
      </c>
      <c r="R119" s="632">
        <v>1</v>
      </c>
      <c r="S119" s="632">
        <v>0</v>
      </c>
      <c r="T119" s="632">
        <v>0</v>
      </c>
      <c r="U119" s="632">
        <v>0</v>
      </c>
      <c r="V119" s="632">
        <v>0</v>
      </c>
      <c r="W119" s="632">
        <v>0</v>
      </c>
      <c r="X119" s="632">
        <v>0</v>
      </c>
      <c r="Y119" s="632">
        <v>0</v>
      </c>
      <c r="Z119" s="632">
        <v>0</v>
      </c>
      <c r="AA119" s="632">
        <v>0</v>
      </c>
      <c r="AB119" s="632">
        <v>1</v>
      </c>
      <c r="AC119" s="632">
        <v>0</v>
      </c>
      <c r="AD119" s="632">
        <v>0</v>
      </c>
      <c r="AE119" s="632">
        <v>0</v>
      </c>
      <c r="AF119" s="632">
        <v>0</v>
      </c>
      <c r="AG119" s="632">
        <v>0</v>
      </c>
      <c r="AH119" s="631">
        <v>1</v>
      </c>
      <c r="AI119" s="631">
        <v>2</v>
      </c>
      <c r="AJ119" s="633" t="s">
        <v>526</v>
      </c>
      <c r="AK119" s="629" t="s">
        <v>417</v>
      </c>
      <c r="AL119" s="629" t="s">
        <v>418</v>
      </c>
      <c r="AM119" s="629" t="s">
        <v>418</v>
      </c>
      <c r="AN119" s="683" t="s">
        <v>513</v>
      </c>
    </row>
    <row r="120" spans="1:40" ht="15.75">
      <c r="A120" s="634" t="s">
        <v>262</v>
      </c>
      <c r="B120" s="629" t="s">
        <v>488</v>
      </c>
      <c r="C120" s="629" t="str">
        <f>VLOOKUP(Tabla6[[#This Row],[SEDE]],'Cronog Junio 2026'!B79:G170,6,0)</f>
        <v>EDUCACIÓN</v>
      </c>
      <c r="D120" s="629" t="str">
        <f>VLOOKUP(Tabla6[[#This Row],[SEDE]],'Cronog Junio 2026'!B79:D170,3,0)</f>
        <v>E020040801</v>
      </c>
      <c r="E120" s="630" t="s">
        <v>265</v>
      </c>
      <c r="F120" s="631">
        <v>16</v>
      </c>
      <c r="G120" s="631">
        <v>8</v>
      </c>
      <c r="H120" s="632">
        <v>1</v>
      </c>
      <c r="I120" s="632">
        <v>0</v>
      </c>
      <c r="J120" s="632">
        <v>1</v>
      </c>
      <c r="K120" s="632">
        <v>0</v>
      </c>
      <c r="L120" s="632">
        <v>2</v>
      </c>
      <c r="M120" s="632">
        <v>0</v>
      </c>
      <c r="N120" s="632">
        <v>2</v>
      </c>
      <c r="O120" s="632">
        <v>0</v>
      </c>
      <c r="P120" s="632">
        <v>0</v>
      </c>
      <c r="Q120" s="632">
        <v>0</v>
      </c>
      <c r="R120" s="632">
        <v>1</v>
      </c>
      <c r="S120" s="632">
        <v>0</v>
      </c>
      <c r="T120" s="632">
        <v>0</v>
      </c>
      <c r="U120" s="632">
        <v>0</v>
      </c>
      <c r="V120" s="632">
        <v>0</v>
      </c>
      <c r="W120" s="632">
        <v>0</v>
      </c>
      <c r="X120" s="632">
        <v>0</v>
      </c>
      <c r="Y120" s="632">
        <v>0</v>
      </c>
      <c r="Z120" s="632">
        <v>1</v>
      </c>
      <c r="AA120" s="632">
        <v>0</v>
      </c>
      <c r="AB120" s="632">
        <v>0</v>
      </c>
      <c r="AC120" s="632">
        <v>0</v>
      </c>
      <c r="AD120" s="632">
        <v>0</v>
      </c>
      <c r="AE120" s="632">
        <v>0</v>
      </c>
      <c r="AF120" s="632">
        <v>0</v>
      </c>
      <c r="AG120" s="632">
        <v>0</v>
      </c>
      <c r="AH120" s="631">
        <v>2</v>
      </c>
      <c r="AI120" s="631">
        <v>6</v>
      </c>
      <c r="AJ120" s="633" t="s">
        <v>527</v>
      </c>
      <c r="AK120" s="629" t="s">
        <v>417</v>
      </c>
      <c r="AL120" s="629" t="s">
        <v>418</v>
      </c>
      <c r="AM120" s="629" t="s">
        <v>418</v>
      </c>
      <c r="AN120" s="683" t="s">
        <v>513</v>
      </c>
    </row>
    <row r="121" spans="1:40" ht="15.75">
      <c r="A121" s="634" t="s">
        <v>266</v>
      </c>
      <c r="B121" s="629" t="s">
        <v>488</v>
      </c>
      <c r="C121" s="629" t="str">
        <f>VLOOKUP(Tabla6[[#This Row],[SEDE]],'Cronog Junio 2026'!B80:G171,6,0)</f>
        <v>EDUCACIÓN</v>
      </c>
      <c r="D121" s="629" t="str">
        <f>VLOOKUP(Tabla6[[#This Row],[SEDE]],'Cronog Junio 2026'!B80:D171,3,0)</f>
        <v>E020390801</v>
      </c>
      <c r="E121" s="630" t="s">
        <v>268</v>
      </c>
      <c r="F121" s="631">
        <v>32</v>
      </c>
      <c r="G121" s="631">
        <f>+H121+J121+L121+N121+P121+R121+T121+V121+X121+Z121+AB121+AD121+AF121</f>
        <v>6</v>
      </c>
      <c r="H121" s="632">
        <v>0</v>
      </c>
      <c r="I121" s="632">
        <v>0</v>
      </c>
      <c r="J121" s="632">
        <v>3</v>
      </c>
      <c r="K121" s="632">
        <v>0</v>
      </c>
      <c r="L121" s="632">
        <v>0</v>
      </c>
      <c r="M121" s="632">
        <v>0</v>
      </c>
      <c r="N121" s="632">
        <v>1</v>
      </c>
      <c r="O121" s="632">
        <v>0</v>
      </c>
      <c r="P121" s="632">
        <v>0</v>
      </c>
      <c r="Q121" s="632">
        <v>0</v>
      </c>
      <c r="R121" s="632">
        <v>1</v>
      </c>
      <c r="S121" s="632">
        <v>0</v>
      </c>
      <c r="T121" s="632">
        <v>0</v>
      </c>
      <c r="U121" s="632">
        <v>0</v>
      </c>
      <c r="V121" s="632">
        <v>0</v>
      </c>
      <c r="W121" s="632">
        <v>0</v>
      </c>
      <c r="X121" s="632">
        <v>1</v>
      </c>
      <c r="Y121" s="632">
        <v>0</v>
      </c>
      <c r="Z121" s="632">
        <v>0</v>
      </c>
      <c r="AA121" s="632">
        <v>0</v>
      </c>
      <c r="AB121" s="632">
        <v>0</v>
      </c>
      <c r="AC121" s="632">
        <v>0</v>
      </c>
      <c r="AD121" s="632">
        <v>0</v>
      </c>
      <c r="AE121" s="632">
        <v>0</v>
      </c>
      <c r="AF121" s="632">
        <v>0</v>
      </c>
      <c r="AG121" s="632">
        <v>0</v>
      </c>
      <c r="AH121" s="631">
        <v>3</v>
      </c>
      <c r="AI121" s="631">
        <v>3</v>
      </c>
      <c r="AJ121" s="633" t="s">
        <v>528</v>
      </c>
      <c r="AK121" s="629" t="s">
        <v>417</v>
      </c>
      <c r="AL121" s="629" t="s">
        <v>418</v>
      </c>
      <c r="AM121" s="629" t="s">
        <v>418</v>
      </c>
      <c r="AN121" s="683" t="s">
        <v>513</v>
      </c>
    </row>
    <row r="122" spans="1:40" ht="15.75">
      <c r="A122" s="654" t="s">
        <v>269</v>
      </c>
      <c r="B122" s="656" t="s">
        <v>488</v>
      </c>
      <c r="C122" s="656" t="str">
        <f>VLOOKUP(Tabla6[[#This Row],[SEDE]],'Cronog Junio 2026'!B81:G172,6,0)</f>
        <v>EDUCACIÓN</v>
      </c>
      <c r="D122" s="656" t="str">
        <f>VLOOKUP(Tabla6[[#This Row],[SEDE]],'Cronog Junio 2026'!B81:D172,3,0)</f>
        <v>E020100205</v>
      </c>
      <c r="E122" s="657" t="s">
        <v>233</v>
      </c>
      <c r="F122" s="655">
        <v>112</v>
      </c>
      <c r="G122" s="655">
        <f>+H122+J122+L122+N122+P122+R122+T122+V122+X122+Z122+AB122+AD122+AF122</f>
        <v>26</v>
      </c>
      <c r="H122" s="658">
        <v>4</v>
      </c>
      <c r="I122" s="658">
        <v>0</v>
      </c>
      <c r="J122" s="658">
        <v>7</v>
      </c>
      <c r="K122" s="658">
        <v>0</v>
      </c>
      <c r="L122" s="658">
        <v>2</v>
      </c>
      <c r="M122" s="658">
        <v>0</v>
      </c>
      <c r="N122" s="658">
        <v>6</v>
      </c>
      <c r="O122" s="658">
        <v>0</v>
      </c>
      <c r="P122" s="658">
        <v>0</v>
      </c>
      <c r="Q122" s="658">
        <v>0</v>
      </c>
      <c r="R122" s="658">
        <v>4</v>
      </c>
      <c r="S122" s="658">
        <v>0</v>
      </c>
      <c r="T122" s="658">
        <v>0</v>
      </c>
      <c r="U122" s="658">
        <v>0</v>
      </c>
      <c r="V122" s="658">
        <v>0</v>
      </c>
      <c r="W122" s="658">
        <v>0</v>
      </c>
      <c r="X122" s="658">
        <v>3</v>
      </c>
      <c r="Y122" s="658">
        <v>0</v>
      </c>
      <c r="Z122" s="658">
        <v>0</v>
      </c>
      <c r="AA122" s="658">
        <v>0</v>
      </c>
      <c r="AB122" s="658">
        <v>0</v>
      </c>
      <c r="AC122" s="658">
        <v>0</v>
      </c>
      <c r="AD122" s="658">
        <v>0</v>
      </c>
      <c r="AE122" s="658">
        <v>0</v>
      </c>
      <c r="AF122" s="658">
        <v>0</v>
      </c>
      <c r="AG122" s="658">
        <v>0</v>
      </c>
      <c r="AH122" s="655">
        <v>12</v>
      </c>
      <c r="AI122" s="655">
        <v>14</v>
      </c>
      <c r="AJ122" s="633" t="s">
        <v>529</v>
      </c>
      <c r="AK122" s="629" t="s">
        <v>417</v>
      </c>
      <c r="AL122" s="629" t="s">
        <v>418</v>
      </c>
      <c r="AM122" s="629" t="s">
        <v>418</v>
      </c>
      <c r="AN122" s="683" t="s">
        <v>513</v>
      </c>
    </row>
    <row r="123" spans="1:40" ht="15.75">
      <c r="A123" s="634" t="s">
        <v>271</v>
      </c>
      <c r="B123" s="629" t="s">
        <v>488</v>
      </c>
      <c r="C123" s="629" t="str">
        <f>VLOOKUP(Tabla6[[#This Row],[SEDE]],'Cronog Junio 2026'!B82:G173,6,0)</f>
        <v>ADMINISTRACIÓN</v>
      </c>
      <c r="D123" s="629" t="str">
        <f>VLOOKUP(Tabla6[[#This Row],[SEDE]],'Cronog Junio 2026'!B82:D173,3,0)</f>
        <v>A020010219</v>
      </c>
      <c r="E123" s="630" t="s">
        <v>530</v>
      </c>
      <c r="F123" s="631">
        <v>112</v>
      </c>
      <c r="G123" s="631">
        <f>+H123+J123+L123+N123+P123+R123+T123+V123+X123+Z123+AB123+AD123+AF123</f>
        <v>28</v>
      </c>
      <c r="H123" s="632">
        <v>0</v>
      </c>
      <c r="I123" s="632">
        <v>0</v>
      </c>
      <c r="J123" s="632">
        <v>6</v>
      </c>
      <c r="K123" s="632">
        <v>0</v>
      </c>
      <c r="L123" s="632">
        <v>9</v>
      </c>
      <c r="M123" s="632">
        <v>0</v>
      </c>
      <c r="N123" s="632">
        <v>4</v>
      </c>
      <c r="O123" s="632">
        <v>0</v>
      </c>
      <c r="P123" s="632">
        <v>0</v>
      </c>
      <c r="Q123" s="632">
        <v>0</v>
      </c>
      <c r="R123" s="632">
        <v>0</v>
      </c>
      <c r="S123" s="632">
        <v>0</v>
      </c>
      <c r="T123" s="632">
        <v>0</v>
      </c>
      <c r="U123" s="632">
        <v>0</v>
      </c>
      <c r="V123" s="632">
        <v>0</v>
      </c>
      <c r="W123" s="632">
        <v>0</v>
      </c>
      <c r="X123" s="632">
        <v>7</v>
      </c>
      <c r="Y123" s="632">
        <v>0</v>
      </c>
      <c r="Z123" s="632">
        <v>0</v>
      </c>
      <c r="AA123" s="632">
        <v>0</v>
      </c>
      <c r="AB123" s="632">
        <v>2</v>
      </c>
      <c r="AC123" s="632">
        <v>0</v>
      </c>
      <c r="AD123" s="632">
        <v>0</v>
      </c>
      <c r="AE123" s="632">
        <v>0</v>
      </c>
      <c r="AF123" s="632">
        <v>0</v>
      </c>
      <c r="AG123" s="632">
        <v>0</v>
      </c>
      <c r="AH123" s="631">
        <v>13</v>
      </c>
      <c r="AI123" s="631">
        <v>15</v>
      </c>
      <c r="AJ123" s="633" t="s">
        <v>531</v>
      </c>
      <c r="AK123" s="629" t="s">
        <v>427</v>
      </c>
      <c r="AL123" s="629" t="s">
        <v>418</v>
      </c>
      <c r="AM123" s="629" t="s">
        <v>418</v>
      </c>
      <c r="AN123" s="683" t="s">
        <v>513</v>
      </c>
    </row>
    <row r="124" spans="1:40" ht="15.75">
      <c r="A124" s="203"/>
      <c r="B124" s="629"/>
      <c r="C124" s="629"/>
      <c r="D124" s="629"/>
      <c r="E124" s="676" t="s">
        <v>532</v>
      </c>
      <c r="F124" s="631"/>
      <c r="G124" s="631">
        <f>+H124+J124+L124+N124+R124+T124+V124+X124+Z124+AB124+AD124+AF124</f>
        <v>0</v>
      </c>
      <c r="H124" s="632"/>
      <c r="I124" s="632"/>
      <c r="J124" s="632"/>
      <c r="K124" s="632"/>
      <c r="L124" s="632"/>
      <c r="M124" s="632"/>
      <c r="N124" s="632"/>
      <c r="O124" s="632"/>
      <c r="P124" s="632"/>
      <c r="Q124" s="632"/>
      <c r="R124" s="632"/>
      <c r="S124" s="632"/>
      <c r="T124" s="632"/>
      <c r="U124" s="632"/>
      <c r="V124" s="632"/>
      <c r="W124" s="632"/>
      <c r="X124" s="632"/>
      <c r="Y124" s="632"/>
      <c r="Z124" s="632"/>
      <c r="AA124" s="632"/>
      <c r="AB124" s="632"/>
      <c r="AC124" s="632"/>
      <c r="AD124" s="632"/>
      <c r="AE124" s="632"/>
      <c r="AF124" s="632"/>
      <c r="AG124" s="632"/>
      <c r="AH124" s="631"/>
      <c r="AI124" s="631"/>
      <c r="AJ124" s="633"/>
      <c r="AK124" s="629"/>
      <c r="AL124" s="629"/>
      <c r="AM124" s="629"/>
      <c r="AN124" s="683"/>
    </row>
    <row r="125" spans="1:40" ht="15.75">
      <c r="A125" s="634" t="s">
        <v>275</v>
      </c>
      <c r="B125" s="629" t="s">
        <v>488</v>
      </c>
      <c r="C125" s="629" t="str">
        <f>VLOOKUP(Tabla6[[#This Row],[SEDE]],'Cronog Junio 2026'!B83:G174,6,0)</f>
        <v>ADMINISTRACIÓN</v>
      </c>
      <c r="D125" s="629" t="str">
        <f>VLOOKUP(Tabla6[[#This Row],[SEDE]],'Cronog Junio 2026'!B83:D174,3,0)</f>
        <v>E060010205</v>
      </c>
      <c r="E125" s="630"/>
      <c r="F125" s="631"/>
      <c r="G125" s="631">
        <f t="shared" si="5"/>
        <v>0</v>
      </c>
      <c r="H125" s="632"/>
      <c r="I125" s="632"/>
      <c r="J125" s="632"/>
      <c r="K125" s="632"/>
      <c r="L125" s="632"/>
      <c r="M125" s="632"/>
      <c r="N125" s="632"/>
      <c r="O125" s="632"/>
      <c r="P125" s="632"/>
      <c r="Q125" s="632"/>
      <c r="R125" s="632"/>
      <c r="S125" s="632"/>
      <c r="T125" s="632"/>
      <c r="U125" s="632"/>
      <c r="V125" s="632"/>
      <c r="W125" s="632"/>
      <c r="X125" s="632"/>
      <c r="Y125" s="632"/>
      <c r="Z125" s="632"/>
      <c r="AA125" s="632"/>
      <c r="AB125" s="632"/>
      <c r="AC125" s="632"/>
      <c r="AD125" s="632"/>
      <c r="AE125" s="632"/>
      <c r="AF125" s="632"/>
      <c r="AG125" s="632"/>
      <c r="AH125" s="631"/>
      <c r="AI125" s="631"/>
      <c r="AJ125" s="633"/>
      <c r="AK125" s="629"/>
      <c r="AL125" s="629"/>
      <c r="AM125" s="629"/>
      <c r="AN125" s="683" t="s">
        <v>510</v>
      </c>
    </row>
    <row r="126" spans="1:40" ht="15.75">
      <c r="A126" s="642" t="s">
        <v>277</v>
      </c>
      <c r="B126" s="629" t="s">
        <v>488</v>
      </c>
      <c r="C126" s="212" t="str">
        <f>VLOOKUP(Tabla6[[#This Row],[SEDE]],'Cronog Junio 2026'!B84:G175,6,0)</f>
        <v>EDUCACIÓN</v>
      </c>
      <c r="D126" s="212" t="str">
        <f>VLOOKUP(Tabla6[[#This Row],[SEDE]],'Cronog Junio 2026'!B84:D175,3,0)</f>
        <v>E020010205</v>
      </c>
      <c r="E126" s="213" t="s">
        <v>533</v>
      </c>
      <c r="F126" s="216">
        <v>64</v>
      </c>
      <c r="G126" s="631">
        <f>+H126+J126+L126+N126+P126+R126+T126+V126+X126+Z126+AB126+AD126+AF126</f>
        <v>17</v>
      </c>
      <c r="H126" s="215">
        <v>2</v>
      </c>
      <c r="I126" s="215">
        <v>0</v>
      </c>
      <c r="J126" s="215">
        <v>1</v>
      </c>
      <c r="K126" s="215">
        <v>0</v>
      </c>
      <c r="L126" s="215">
        <v>5</v>
      </c>
      <c r="M126" s="215">
        <v>0</v>
      </c>
      <c r="N126" s="215">
        <v>3</v>
      </c>
      <c r="O126" s="215">
        <v>0</v>
      </c>
      <c r="P126" s="215">
        <v>0</v>
      </c>
      <c r="Q126" s="215">
        <v>0</v>
      </c>
      <c r="R126" s="215">
        <v>0</v>
      </c>
      <c r="S126" s="215">
        <v>0</v>
      </c>
      <c r="T126" s="215">
        <v>0</v>
      </c>
      <c r="U126" s="215">
        <v>0</v>
      </c>
      <c r="V126" s="215">
        <v>1</v>
      </c>
      <c r="W126" s="215">
        <v>0</v>
      </c>
      <c r="X126" s="215">
        <v>5</v>
      </c>
      <c r="Y126" s="215">
        <v>0</v>
      </c>
      <c r="Z126" s="215">
        <v>0</v>
      </c>
      <c r="AA126" s="215">
        <v>0</v>
      </c>
      <c r="AB126" s="215">
        <v>0</v>
      </c>
      <c r="AC126" s="215">
        <v>0</v>
      </c>
      <c r="AD126" s="215">
        <v>0</v>
      </c>
      <c r="AE126" s="215">
        <v>0</v>
      </c>
      <c r="AF126" s="215">
        <v>0</v>
      </c>
      <c r="AG126" s="215">
        <v>0</v>
      </c>
      <c r="AH126" s="216">
        <v>11</v>
      </c>
      <c r="AI126" s="216">
        <v>6</v>
      </c>
      <c r="AJ126" s="214" t="s">
        <v>534</v>
      </c>
      <c r="AK126" s="629" t="s">
        <v>417</v>
      </c>
      <c r="AL126" s="629" t="s">
        <v>418</v>
      </c>
      <c r="AM126" s="629" t="s">
        <v>418</v>
      </c>
      <c r="AN126" s="683" t="s">
        <v>513</v>
      </c>
    </row>
    <row r="127" spans="1:40" ht="15.75">
      <c r="A127" s="690"/>
      <c r="B127" s="212"/>
      <c r="C127" s="212"/>
      <c r="D127" s="212"/>
      <c r="E127" s="692" t="s">
        <v>257</v>
      </c>
      <c r="F127" s="216"/>
      <c r="G127" s="216">
        <f>+H127+J127+L127+N127+R127+T127+V127+X127+Z127+AB127+AD127+AF127</f>
        <v>0</v>
      </c>
      <c r="H127" s="215"/>
      <c r="I127" s="215"/>
      <c r="J127" s="215"/>
      <c r="K127" s="215"/>
      <c r="L127" s="215"/>
      <c r="M127" s="215"/>
      <c r="N127" s="215"/>
      <c r="O127" s="215"/>
      <c r="P127" s="215"/>
      <c r="Q127" s="215"/>
      <c r="R127" s="215"/>
      <c r="S127" s="215"/>
      <c r="T127" s="215"/>
      <c r="U127" s="215"/>
      <c r="V127" s="215"/>
      <c r="W127" s="215"/>
      <c r="X127" s="215"/>
      <c r="Y127" s="215"/>
      <c r="Z127" s="215"/>
      <c r="AA127" s="215"/>
      <c r="AB127" s="215"/>
      <c r="AC127" s="215"/>
      <c r="AD127" s="215"/>
      <c r="AE127" s="215"/>
      <c r="AF127" s="215"/>
      <c r="AG127" s="215"/>
      <c r="AH127" s="216"/>
      <c r="AI127" s="216"/>
      <c r="AJ127" s="214"/>
      <c r="AK127" s="212"/>
      <c r="AL127" s="212"/>
      <c r="AM127" s="212"/>
      <c r="AN127" s="691"/>
    </row>
    <row r="128" spans="1:40" ht="15.75">
      <c r="A128" s="678"/>
      <c r="B128" s="629"/>
      <c r="C128" s="212"/>
      <c r="D128" s="212"/>
      <c r="E128" s="213"/>
      <c r="F128" s="216"/>
      <c r="G128" s="631"/>
      <c r="H128" s="215"/>
      <c r="I128" s="215"/>
      <c r="J128" s="215"/>
      <c r="K128" s="215"/>
      <c r="L128" s="215"/>
      <c r="M128" s="215"/>
      <c r="N128" s="215"/>
      <c r="O128" s="215"/>
      <c r="P128" s="215"/>
      <c r="Q128" s="215"/>
      <c r="R128" s="215"/>
      <c r="S128" s="215"/>
      <c r="T128" s="215"/>
      <c r="U128" s="215"/>
      <c r="V128" s="215"/>
      <c r="W128" s="215"/>
      <c r="X128" s="215"/>
      <c r="Y128" s="215"/>
      <c r="Z128" s="215"/>
      <c r="AA128" s="215"/>
      <c r="AB128" s="215"/>
      <c r="AC128" s="215"/>
      <c r="AD128" s="215"/>
      <c r="AE128" s="215"/>
      <c r="AF128" s="215"/>
      <c r="AG128" s="215"/>
      <c r="AH128" s="216"/>
      <c r="AI128" s="216"/>
      <c r="AJ128" s="214"/>
      <c r="AK128" s="629"/>
      <c r="AL128" s="629"/>
      <c r="AM128" s="629"/>
      <c r="AN128" s="629"/>
    </row>
    <row r="129" spans="1:40" ht="15.75">
      <c r="A129" s="678"/>
      <c r="B129" s="629"/>
      <c r="C129" s="212"/>
      <c r="D129" s="212"/>
      <c r="E129" s="213"/>
      <c r="F129" s="216"/>
      <c r="G129" s="631"/>
      <c r="H129" s="215"/>
      <c r="I129" s="215"/>
      <c r="J129" s="215"/>
      <c r="K129" s="215"/>
      <c r="L129" s="215"/>
      <c r="M129" s="215"/>
      <c r="N129" s="215"/>
      <c r="O129" s="215"/>
      <c r="P129" s="215"/>
      <c r="Q129" s="215"/>
      <c r="R129" s="215"/>
      <c r="S129" s="215"/>
      <c r="T129" s="215"/>
      <c r="U129" s="215"/>
      <c r="V129" s="215"/>
      <c r="W129" s="215"/>
      <c r="X129" s="215"/>
      <c r="Y129" s="215"/>
      <c r="Z129" s="215"/>
      <c r="AA129" s="215"/>
      <c r="AB129" s="215"/>
      <c r="AC129" s="215"/>
      <c r="AD129" s="215"/>
      <c r="AE129" s="215"/>
      <c r="AF129" s="215"/>
      <c r="AG129" s="215"/>
      <c r="AH129" s="216"/>
      <c r="AI129" s="216"/>
      <c r="AJ129" s="679"/>
      <c r="AK129" s="629"/>
      <c r="AL129" s="629"/>
      <c r="AM129" s="629"/>
      <c r="AN129" s="629"/>
    </row>
  </sheetData>
  <mergeCells count="5">
    <mergeCell ref="A2:AJ2"/>
    <mergeCell ref="H3:AG4"/>
    <mergeCell ref="AH3:AI4"/>
    <mergeCell ref="AJ3:AJ4"/>
    <mergeCell ref="B3:G4"/>
  </mergeCells>
  <conditionalFormatting sqref="A6:A129">
    <cfRule type="duplicateValues" dxfId="192" priority="8"/>
  </conditionalFormatting>
  <conditionalFormatting sqref="A30">
    <cfRule type="duplicateValues" dxfId="191" priority="3"/>
  </conditionalFormatting>
  <conditionalFormatting sqref="A40">
    <cfRule type="duplicateValues" dxfId="190" priority="4"/>
    <cfRule type="duplicateValues" dxfId="189" priority="5"/>
    <cfRule type="duplicateValues" dxfId="188" priority="6"/>
    <cfRule type="duplicateValues" dxfId="187" priority="7"/>
  </conditionalFormatting>
  <conditionalFormatting sqref="A49:A76">
    <cfRule type="duplicateValues" dxfId="186" priority="2"/>
  </conditionalFormatting>
  <conditionalFormatting sqref="A77:A129">
    <cfRule type="duplicateValues" dxfId="185" priority="1"/>
  </conditionalFormatting>
  <printOptions horizontalCentered="1" verticalCentered="1"/>
  <pageMargins left="0.23622047244094491" right="0.23622047244094491" top="0.74803149606299213" bottom="0.15748031496062992" header="0.31496062992125984" footer="0.31496062992125984"/>
  <pageSetup scale="63" fitToHeight="0" orientation="landscape" horizontalDpi="300" verticalDpi="300" r:id="rId1"/>
  <drawing r:id="rId2"/>
  <legacyDrawing r:id="rId3"/>
  <tableParts count="1">
    <tablePart r:id="rId4"/>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9585990-A50E-4A01-A087-071B945FE932}">
          <x14:formula1>
            <xm:f>'Cronog Junio 2026'!$B$6:$B$94</xm:f>
          </x14:formula1>
          <xm:sqref>A6:A129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dimension ref="A1:AO46"/>
  <sheetViews>
    <sheetView showGridLines="0" zoomScaleNormal="100" workbookViewId="0">
      <selection activeCell="B20" sqref="B20:AA20"/>
    </sheetView>
  </sheetViews>
  <sheetFormatPr defaultColWidth="11.42578125" defaultRowHeight="15" customHeight="1"/>
  <cols>
    <col min="1" max="1" width="2.5703125" bestFit="1" customWidth="1"/>
    <col min="2" max="3" width="8.5703125" style="18" customWidth="1"/>
    <col min="4" max="27" width="8.5703125" customWidth="1"/>
    <col min="28" max="28" width="12.5703125" bestFit="1" customWidth="1"/>
    <col min="29" max="29" width="4.140625" customWidth="1"/>
    <col min="30" max="30" width="12" bestFit="1" customWidth="1"/>
    <col min="31" max="31" width="11" bestFit="1" customWidth="1"/>
    <col min="32" max="32" width="6.42578125" customWidth="1"/>
    <col min="33" max="33" width="4.85546875" style="320" customWidth="1"/>
  </cols>
  <sheetData>
    <row r="1" spans="1:33" thickBot="1">
      <c r="B1" s="25">
        <v>1</v>
      </c>
      <c r="C1" s="25"/>
      <c r="D1" s="25">
        <v>2</v>
      </c>
      <c r="E1" s="25"/>
      <c r="F1" s="25">
        <v>3</v>
      </c>
      <c r="G1" s="25"/>
      <c r="H1" s="25">
        <v>4</v>
      </c>
      <c r="I1" s="25"/>
      <c r="J1" s="25">
        <v>5</v>
      </c>
      <c r="K1" s="25"/>
      <c r="L1" s="25">
        <v>6</v>
      </c>
      <c r="M1" s="25"/>
      <c r="N1" s="25">
        <v>7</v>
      </c>
      <c r="O1" s="25"/>
      <c r="P1" s="25">
        <v>8</v>
      </c>
      <c r="Q1" s="25"/>
      <c r="R1" s="25">
        <v>9</v>
      </c>
      <c r="S1" s="25"/>
      <c r="T1" s="25">
        <v>10</v>
      </c>
      <c r="U1" s="25"/>
      <c r="V1" s="25">
        <v>11</v>
      </c>
      <c r="W1" s="25"/>
      <c r="X1" s="25">
        <v>12</v>
      </c>
      <c r="Y1" s="25"/>
      <c r="Z1" s="25">
        <v>13</v>
      </c>
      <c r="AA1" s="25"/>
    </row>
    <row r="2" spans="1:33" thickBot="1">
      <c r="B2" s="148" t="s">
        <v>385</v>
      </c>
      <c r="C2" s="148" t="s">
        <v>25</v>
      </c>
      <c r="D2" s="149" t="s">
        <v>386</v>
      </c>
      <c r="E2" s="149" t="s">
        <v>27</v>
      </c>
      <c r="F2" s="150" t="s">
        <v>387</v>
      </c>
      <c r="G2" s="150" t="s">
        <v>27</v>
      </c>
      <c r="H2" s="151" t="s">
        <v>389</v>
      </c>
      <c r="I2" s="151" t="s">
        <v>30</v>
      </c>
      <c r="J2" s="151" t="s">
        <v>390</v>
      </c>
      <c r="K2" s="151" t="s">
        <v>30</v>
      </c>
      <c r="L2" s="152" t="s">
        <v>392</v>
      </c>
      <c r="M2" s="152" t="s">
        <v>25</v>
      </c>
      <c r="N2" s="148" t="s">
        <v>394</v>
      </c>
      <c r="O2" s="148" t="s">
        <v>25</v>
      </c>
      <c r="P2" s="149" t="s">
        <v>396</v>
      </c>
      <c r="Q2" s="149" t="s">
        <v>25</v>
      </c>
      <c r="R2" s="150" t="s">
        <v>398</v>
      </c>
      <c r="S2" s="150" t="s">
        <v>27</v>
      </c>
      <c r="T2" s="153" t="s">
        <v>400</v>
      </c>
      <c r="U2" s="153" t="s">
        <v>25</v>
      </c>
      <c r="V2" s="149" t="s">
        <v>402</v>
      </c>
      <c r="W2" s="149" t="s">
        <v>27</v>
      </c>
      <c r="X2" s="150" t="s">
        <v>404</v>
      </c>
      <c r="Y2" s="150" t="s">
        <v>25</v>
      </c>
      <c r="Z2" s="154" t="s">
        <v>406</v>
      </c>
      <c r="AA2" s="154" t="s">
        <v>25</v>
      </c>
      <c r="AB2" s="76" t="s">
        <v>535</v>
      </c>
      <c r="AD2" s="34" t="s">
        <v>408</v>
      </c>
      <c r="AE2" s="35" t="s">
        <v>409</v>
      </c>
    </row>
    <row r="3" spans="1:33">
      <c r="A3" s="27">
        <v>1</v>
      </c>
      <c r="B3" s="660"/>
      <c r="C3" s="660"/>
      <c r="D3" s="660"/>
      <c r="E3" s="660"/>
      <c r="F3" s="660">
        <v>1</v>
      </c>
      <c r="G3" s="660"/>
      <c r="H3" s="660"/>
      <c r="I3" s="660"/>
      <c r="J3" s="660"/>
      <c r="K3" s="660"/>
      <c r="L3" s="660"/>
      <c r="M3" s="660"/>
      <c r="N3" s="660"/>
      <c r="O3" s="660"/>
      <c r="P3" s="660"/>
      <c r="Q3" s="660"/>
      <c r="R3" s="660"/>
      <c r="S3" s="660"/>
      <c r="T3" s="660"/>
      <c r="U3" s="660"/>
      <c r="V3" s="660"/>
      <c r="W3" s="660"/>
      <c r="X3" s="660"/>
      <c r="Y3" s="660"/>
      <c r="Z3" s="660"/>
      <c r="AA3" s="660"/>
      <c r="AB3" s="421">
        <f>B3+D3+F3+H3+L3+N3+P3+R3+T3+V3+X3+Z3+J3</f>
        <v>1</v>
      </c>
      <c r="AC3" s="84"/>
      <c r="AD3" s="85">
        <v>1</v>
      </c>
      <c r="AE3" s="86">
        <v>0</v>
      </c>
      <c r="AF3" s="92">
        <f t="shared" ref="AF3:AF10" si="0">SUM(AD3:AE3)</f>
        <v>1</v>
      </c>
      <c r="AG3" s="685"/>
    </row>
    <row r="4" spans="1:33" ht="14.45">
      <c r="A4" s="27">
        <v>2</v>
      </c>
      <c r="B4" s="155"/>
      <c r="C4" s="155"/>
      <c r="D4" s="87"/>
      <c r="E4" s="87"/>
      <c r="F4" s="87">
        <v>1</v>
      </c>
      <c r="G4" s="87"/>
      <c r="H4" s="87"/>
      <c r="I4" s="87"/>
      <c r="J4" s="87"/>
      <c r="K4" s="87"/>
      <c r="L4" s="87"/>
      <c r="M4" s="87"/>
      <c r="N4" s="87"/>
      <c r="O4" s="87"/>
      <c r="P4" s="87"/>
      <c r="Q4" s="87"/>
      <c r="R4" s="87"/>
      <c r="S4" s="87"/>
      <c r="T4" s="87"/>
      <c r="U4" s="87"/>
      <c r="V4" s="87"/>
      <c r="W4" s="87"/>
      <c r="X4" s="87"/>
      <c r="Y4" s="87"/>
      <c r="Z4" s="87"/>
      <c r="AA4" s="87"/>
      <c r="AB4" s="421">
        <f>B4+D4+F4+H4+L4+N4+P4+R4+T4+V4+X4+Z4+J4</f>
        <v>1</v>
      </c>
      <c r="AC4" s="84"/>
      <c r="AD4" s="88">
        <v>1</v>
      </c>
      <c r="AE4" s="89">
        <v>0</v>
      </c>
      <c r="AF4" s="92">
        <f t="shared" si="0"/>
        <v>1</v>
      </c>
      <c r="AG4" s="685"/>
    </row>
    <row r="5" spans="1:33">
      <c r="A5" s="27">
        <v>3</v>
      </c>
      <c r="B5" s="660">
        <v>1</v>
      </c>
      <c r="C5" s="660"/>
      <c r="D5" s="660"/>
      <c r="E5" s="660"/>
      <c r="F5" s="660">
        <v>1</v>
      </c>
      <c r="G5" s="660"/>
      <c r="H5" s="660"/>
      <c r="I5" s="660"/>
      <c r="J5" s="660"/>
      <c r="K5" s="660"/>
      <c r="L5" s="660"/>
      <c r="M5" s="660"/>
      <c r="N5" s="660"/>
      <c r="O5" s="660"/>
      <c r="P5" s="660"/>
      <c r="Q5" s="660"/>
      <c r="R5" s="660"/>
      <c r="S5" s="660"/>
      <c r="T5" s="660"/>
      <c r="U5" s="660"/>
      <c r="V5" s="660"/>
      <c r="W5" s="660"/>
      <c r="X5" s="660"/>
      <c r="Y5" s="660"/>
      <c r="Z5" s="660"/>
      <c r="AA5" s="660"/>
      <c r="AB5" s="421">
        <f t="shared" ref="AB5:AB19" si="1">B5+D5+F5+H5+L5+N5+P5+R5+T5+V5+X5+Z5+J5</f>
        <v>2</v>
      </c>
      <c r="AC5" s="84"/>
      <c r="AD5" s="88">
        <v>1</v>
      </c>
      <c r="AE5" s="89">
        <v>1</v>
      </c>
      <c r="AF5" s="92">
        <f t="shared" si="0"/>
        <v>2</v>
      </c>
      <c r="AG5" s="685"/>
    </row>
    <row r="6" spans="1:33" ht="14.45">
      <c r="A6" s="27">
        <v>4</v>
      </c>
      <c r="B6" s="155"/>
      <c r="C6" s="155"/>
      <c r="D6" s="87"/>
      <c r="E6" s="87"/>
      <c r="F6" s="87"/>
      <c r="G6" s="87"/>
      <c r="H6" s="87"/>
      <c r="I6" s="87"/>
      <c r="J6" s="87"/>
      <c r="K6" s="87"/>
      <c r="L6" s="87">
        <v>1</v>
      </c>
      <c r="M6" s="87"/>
      <c r="N6" s="87"/>
      <c r="O6" s="87"/>
      <c r="P6" s="87"/>
      <c r="Q6" s="87"/>
      <c r="R6" s="87">
        <v>1</v>
      </c>
      <c r="S6" s="87"/>
      <c r="T6" s="87"/>
      <c r="U6" s="87"/>
      <c r="V6" s="87"/>
      <c r="W6" s="87"/>
      <c r="X6" s="87"/>
      <c r="Y6" s="87"/>
      <c r="Z6" s="87"/>
      <c r="AA6" s="87"/>
      <c r="AB6" s="421">
        <f t="shared" si="1"/>
        <v>2</v>
      </c>
      <c r="AC6" s="84"/>
      <c r="AD6" s="88">
        <v>2</v>
      </c>
      <c r="AE6" s="89">
        <v>0</v>
      </c>
      <c r="AF6" s="92">
        <f t="shared" si="0"/>
        <v>2</v>
      </c>
      <c r="AG6" s="685"/>
    </row>
    <row r="7" spans="1:33" ht="14.45">
      <c r="A7" s="27">
        <v>5</v>
      </c>
      <c r="B7" s="155"/>
      <c r="C7" s="155"/>
      <c r="D7" s="87"/>
      <c r="E7" s="87"/>
      <c r="F7" s="87"/>
      <c r="G7" s="87"/>
      <c r="H7" s="87"/>
      <c r="I7" s="87"/>
      <c r="J7" s="87"/>
      <c r="K7" s="87"/>
      <c r="L7" s="87"/>
      <c r="M7" s="87"/>
      <c r="N7" s="87">
        <v>1</v>
      </c>
      <c r="O7" s="87"/>
      <c r="P7" s="87"/>
      <c r="Q7" s="87"/>
      <c r="R7" s="87">
        <v>1</v>
      </c>
      <c r="S7" s="87"/>
      <c r="T7" s="87"/>
      <c r="U7" s="87"/>
      <c r="V7" s="87">
        <v>6</v>
      </c>
      <c r="W7" s="87"/>
      <c r="X7" s="87"/>
      <c r="Y7" s="87"/>
      <c r="Z7" s="87"/>
      <c r="AA7" s="87"/>
      <c r="AB7" s="421">
        <f t="shared" si="1"/>
        <v>8</v>
      </c>
      <c r="AC7" s="84"/>
      <c r="AD7" s="88">
        <v>1</v>
      </c>
      <c r="AE7" s="89">
        <v>7</v>
      </c>
      <c r="AF7" s="92">
        <f t="shared" si="0"/>
        <v>8</v>
      </c>
      <c r="AG7" s="685"/>
    </row>
    <row r="8" spans="1:33" ht="14.45">
      <c r="A8" s="27">
        <v>6</v>
      </c>
      <c r="B8" s="155"/>
      <c r="C8" s="155"/>
      <c r="D8" s="87"/>
      <c r="E8" s="87"/>
      <c r="F8" s="87"/>
      <c r="G8" s="87"/>
      <c r="H8" s="87"/>
      <c r="I8" s="87"/>
      <c r="J8" s="87"/>
      <c r="K8" s="87"/>
      <c r="L8" s="87"/>
      <c r="M8" s="87"/>
      <c r="N8" s="87"/>
      <c r="O8" s="87"/>
      <c r="P8" s="87"/>
      <c r="Q8" s="87"/>
      <c r="R8" s="87"/>
      <c r="S8" s="87"/>
      <c r="T8" s="87"/>
      <c r="U8" s="87"/>
      <c r="V8" s="87"/>
      <c r="W8" s="87"/>
      <c r="X8" s="87"/>
      <c r="Y8" s="87"/>
      <c r="Z8" s="87"/>
      <c r="AA8" s="87"/>
      <c r="AB8" s="421">
        <f t="shared" si="1"/>
        <v>0</v>
      </c>
      <c r="AC8" s="84"/>
      <c r="AD8" s="88"/>
      <c r="AE8" s="89"/>
      <c r="AF8" s="92">
        <f t="shared" si="0"/>
        <v>0</v>
      </c>
    </row>
    <row r="9" spans="1:33" ht="14.45">
      <c r="A9" s="27">
        <v>7</v>
      </c>
      <c r="B9" s="155"/>
      <c r="C9" s="155"/>
      <c r="D9" s="87"/>
      <c r="E9" s="87"/>
      <c r="F9" s="87"/>
      <c r="G9" s="87"/>
      <c r="H9" s="87"/>
      <c r="I9" s="87"/>
      <c r="J9" s="87"/>
      <c r="K9" s="87"/>
      <c r="L9" s="87"/>
      <c r="M9" s="87"/>
      <c r="N9" s="87"/>
      <c r="O9" s="87"/>
      <c r="P9" s="87"/>
      <c r="Q9" s="87"/>
      <c r="R9" s="87"/>
      <c r="S9" s="87"/>
      <c r="T9" s="87"/>
      <c r="U9" s="87"/>
      <c r="V9" s="87"/>
      <c r="W9" s="87"/>
      <c r="X9" s="87"/>
      <c r="Y9" s="87"/>
      <c r="Z9" s="87"/>
      <c r="AA9" s="87"/>
      <c r="AB9" s="421">
        <f t="shared" si="1"/>
        <v>0</v>
      </c>
      <c r="AC9" s="84"/>
      <c r="AD9" s="88"/>
      <c r="AE9" s="89"/>
      <c r="AF9" s="92">
        <f t="shared" si="0"/>
        <v>0</v>
      </c>
    </row>
    <row r="10" spans="1:33" ht="14.45">
      <c r="A10" s="27">
        <v>8</v>
      </c>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421">
        <f t="shared" si="1"/>
        <v>0</v>
      </c>
      <c r="AC10" s="84"/>
      <c r="AD10" s="88"/>
      <c r="AE10" s="89"/>
      <c r="AF10" s="92">
        <f t="shared" si="0"/>
        <v>0</v>
      </c>
    </row>
    <row r="11" spans="1:33" ht="14.45">
      <c r="A11" s="27">
        <v>9</v>
      </c>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421">
        <f t="shared" si="1"/>
        <v>0</v>
      </c>
      <c r="AC11" s="84"/>
      <c r="AD11" s="88"/>
      <c r="AE11" s="89"/>
      <c r="AF11" s="92">
        <f t="shared" ref="AF11:AF19" si="2">SUM(AD11:AE11)</f>
        <v>0</v>
      </c>
    </row>
    <row r="12" spans="1:33" ht="14.45">
      <c r="A12" s="27">
        <v>10</v>
      </c>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421">
        <f t="shared" si="1"/>
        <v>0</v>
      </c>
      <c r="AC12" s="84"/>
      <c r="AD12" s="88"/>
      <c r="AE12" s="89"/>
      <c r="AF12" s="92">
        <f t="shared" si="2"/>
        <v>0</v>
      </c>
    </row>
    <row r="13" spans="1:33" ht="14.45">
      <c r="A13" s="27">
        <v>11</v>
      </c>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421">
        <f t="shared" si="1"/>
        <v>0</v>
      </c>
      <c r="AC13" s="84"/>
      <c r="AD13" s="88"/>
      <c r="AE13" s="89"/>
      <c r="AF13" s="92">
        <f t="shared" si="2"/>
        <v>0</v>
      </c>
    </row>
    <row r="14" spans="1:33" ht="14.45">
      <c r="A14" s="27">
        <v>12</v>
      </c>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421">
        <f t="shared" si="1"/>
        <v>0</v>
      </c>
      <c r="AC14" s="84"/>
      <c r="AD14" s="88"/>
      <c r="AE14" s="89"/>
      <c r="AF14" s="92">
        <f t="shared" si="2"/>
        <v>0</v>
      </c>
    </row>
    <row r="15" spans="1:33" ht="14.45">
      <c r="A15" s="27">
        <v>13</v>
      </c>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421">
        <f t="shared" si="1"/>
        <v>0</v>
      </c>
      <c r="AC15" s="84"/>
      <c r="AD15" s="88"/>
      <c r="AE15" s="89"/>
      <c r="AF15" s="92">
        <f t="shared" si="2"/>
        <v>0</v>
      </c>
    </row>
    <row r="16" spans="1:33" ht="14.45">
      <c r="A16" s="27">
        <v>14</v>
      </c>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421">
        <f t="shared" si="1"/>
        <v>0</v>
      </c>
      <c r="AC16" s="84"/>
      <c r="AD16" s="88"/>
      <c r="AE16" s="89"/>
      <c r="AF16" s="92">
        <f t="shared" si="2"/>
        <v>0</v>
      </c>
    </row>
    <row r="17" spans="1:41" ht="14.45">
      <c r="A17" s="27">
        <v>15</v>
      </c>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421">
        <f t="shared" si="1"/>
        <v>0</v>
      </c>
      <c r="AC17" s="84"/>
      <c r="AD17" s="88"/>
      <c r="AE17" s="89"/>
      <c r="AF17" s="92">
        <f t="shared" si="2"/>
        <v>0</v>
      </c>
    </row>
    <row r="18" spans="1:41" ht="14.45">
      <c r="A18" s="27">
        <v>16</v>
      </c>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421">
        <f t="shared" si="1"/>
        <v>0</v>
      </c>
      <c r="AC18" s="84"/>
      <c r="AD18" s="88"/>
      <c r="AE18" s="89"/>
      <c r="AF18" s="92">
        <f t="shared" si="2"/>
        <v>0</v>
      </c>
    </row>
    <row r="19" spans="1:41" thickBot="1">
      <c r="A19" s="27">
        <v>17</v>
      </c>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421">
        <f t="shared" si="1"/>
        <v>0</v>
      </c>
      <c r="AC19" s="84"/>
      <c r="AD19" s="90"/>
      <c r="AE19" s="91"/>
      <c r="AF19" s="92">
        <f t="shared" si="2"/>
        <v>0</v>
      </c>
    </row>
    <row r="20" spans="1:41" thickBot="1">
      <c r="A20" s="27"/>
      <c r="B20" s="422">
        <f>SUM(B3:B19)</f>
        <v>1</v>
      </c>
      <c r="C20" s="422">
        <f t="shared" ref="C20:AA20" si="3">SUM(C3:C19)</f>
        <v>0</v>
      </c>
      <c r="D20" s="422">
        <f t="shared" si="3"/>
        <v>0</v>
      </c>
      <c r="E20" s="422">
        <f t="shared" si="3"/>
        <v>0</v>
      </c>
      <c r="F20" s="422">
        <f t="shared" si="3"/>
        <v>3</v>
      </c>
      <c r="G20" s="422">
        <f t="shared" si="3"/>
        <v>0</v>
      </c>
      <c r="H20" s="422">
        <f t="shared" si="3"/>
        <v>0</v>
      </c>
      <c r="I20" s="422">
        <f t="shared" si="3"/>
        <v>0</v>
      </c>
      <c r="J20" s="422">
        <f t="shared" si="3"/>
        <v>0</v>
      </c>
      <c r="K20" s="422">
        <f t="shared" si="3"/>
        <v>0</v>
      </c>
      <c r="L20" s="422">
        <f t="shared" si="3"/>
        <v>1</v>
      </c>
      <c r="M20" s="422">
        <f t="shared" si="3"/>
        <v>0</v>
      </c>
      <c r="N20" s="422">
        <f t="shared" si="3"/>
        <v>1</v>
      </c>
      <c r="O20" s="422">
        <f t="shared" si="3"/>
        <v>0</v>
      </c>
      <c r="P20" s="422">
        <f t="shared" si="3"/>
        <v>0</v>
      </c>
      <c r="Q20" s="422">
        <f t="shared" si="3"/>
        <v>0</v>
      </c>
      <c r="R20" s="422">
        <f t="shared" si="3"/>
        <v>2</v>
      </c>
      <c r="S20" s="422">
        <f t="shared" si="3"/>
        <v>0</v>
      </c>
      <c r="T20" s="422">
        <f t="shared" si="3"/>
        <v>0</v>
      </c>
      <c r="U20" s="422">
        <f t="shared" si="3"/>
        <v>0</v>
      </c>
      <c r="V20" s="422">
        <f t="shared" si="3"/>
        <v>6</v>
      </c>
      <c r="W20" s="422">
        <f t="shared" si="3"/>
        <v>0</v>
      </c>
      <c r="X20" s="422">
        <f t="shared" si="3"/>
        <v>0</v>
      </c>
      <c r="Y20" s="422">
        <f t="shared" si="3"/>
        <v>0</v>
      </c>
      <c r="Z20" s="422">
        <f t="shared" si="3"/>
        <v>0</v>
      </c>
      <c r="AA20" s="422">
        <f t="shared" si="3"/>
        <v>0</v>
      </c>
      <c r="AB20" s="74" t="s">
        <v>536</v>
      </c>
      <c r="AD20" s="78">
        <f>SUM(AD3:AD19)</f>
        <v>6</v>
      </c>
      <c r="AE20" s="79">
        <f>SUM(AE3:AE19)</f>
        <v>8</v>
      </c>
      <c r="AF20" s="77"/>
      <c r="AG20" s="680"/>
      <c r="AH20" s="77"/>
      <c r="AI20" s="77"/>
      <c r="AJ20" s="77"/>
      <c r="AK20" s="77"/>
      <c r="AL20" s="77"/>
      <c r="AM20" s="77"/>
      <c r="AN20" s="77"/>
      <c r="AO20" s="77"/>
    </row>
    <row r="21" spans="1:41" ht="18.600000000000001" thickBot="1">
      <c r="A21" s="27"/>
      <c r="B21" s="750">
        <f>+B20+D20+F20+H20+L20+N20+P20+R20+T20+V20+X20+Z20+J20</f>
        <v>14</v>
      </c>
      <c r="C21" s="751"/>
      <c r="D21" s="751"/>
      <c r="E21" s="751"/>
      <c r="F21" s="751"/>
      <c r="G21" s="751"/>
      <c r="H21" s="751"/>
      <c r="I21" s="751"/>
      <c r="J21" s="751"/>
      <c r="K21" s="751"/>
      <c r="L21" s="751"/>
      <c r="M21" s="751"/>
      <c r="N21" s="751"/>
      <c r="O21" s="751"/>
      <c r="P21" s="751"/>
      <c r="Q21" s="751"/>
      <c r="R21" s="751"/>
      <c r="S21" s="751"/>
      <c r="T21" s="751"/>
      <c r="U21" s="751"/>
      <c r="V21" s="751"/>
      <c r="W21" s="751"/>
      <c r="X21" s="751"/>
      <c r="Y21" s="751"/>
      <c r="Z21" s="751"/>
      <c r="AA21" s="752"/>
      <c r="AB21" s="74" t="s">
        <v>537</v>
      </c>
      <c r="AD21" s="748">
        <f>+AD20+AE20</f>
        <v>14</v>
      </c>
      <c r="AE21" s="749"/>
    </row>
    <row r="22" spans="1:41" ht="14.45">
      <c r="A22" s="27"/>
      <c r="D22" s="18"/>
      <c r="E22" s="18"/>
      <c r="F22" s="18"/>
      <c r="G22" s="18"/>
      <c r="H22" s="18"/>
      <c r="I22" s="18"/>
      <c r="J22" s="18"/>
      <c r="K22" s="18"/>
      <c r="L22" s="18"/>
      <c r="M22" s="18"/>
      <c r="N22" s="18"/>
      <c r="O22" s="18"/>
      <c r="P22" s="18"/>
      <c r="Q22" s="18"/>
      <c r="R22" s="18"/>
      <c r="S22" s="18"/>
      <c r="T22" s="18"/>
      <c r="U22" s="18"/>
      <c r="V22" s="18"/>
      <c r="W22" s="18"/>
      <c r="X22" s="18"/>
      <c r="Y22" s="18"/>
      <c r="Z22" s="18"/>
      <c r="AA22" s="18"/>
      <c r="AB22" s="73"/>
    </row>
    <row r="23" spans="1:41" thickBot="1">
      <c r="A23" s="27"/>
      <c r="D23" s="18"/>
      <c r="E23" s="18"/>
      <c r="F23" s="18"/>
      <c r="G23" s="18"/>
      <c r="H23" s="18"/>
      <c r="I23" s="18"/>
      <c r="J23" s="18"/>
      <c r="K23" s="18"/>
      <c r="L23" s="18"/>
      <c r="M23" s="18"/>
      <c r="N23" s="18"/>
      <c r="O23" s="18"/>
      <c r="P23" s="18"/>
      <c r="Q23" s="18"/>
      <c r="R23" s="18"/>
      <c r="S23" s="18"/>
      <c r="T23" s="18"/>
      <c r="U23" s="18"/>
      <c r="V23" s="18"/>
      <c r="W23" s="18"/>
      <c r="X23" s="18"/>
      <c r="Y23" s="18"/>
      <c r="Z23" s="18"/>
      <c r="AA23" s="18"/>
      <c r="AB23" s="73"/>
    </row>
    <row r="24" spans="1:41" ht="16.149999999999999" thickBot="1">
      <c r="A24" s="27"/>
      <c r="B24" s="80">
        <v>1</v>
      </c>
      <c r="C24" s="80"/>
      <c r="D24" s="753" t="s">
        <v>385</v>
      </c>
      <c r="E24" s="754"/>
      <c r="F24" s="24" t="s">
        <v>538</v>
      </c>
      <c r="G24" s="24"/>
      <c r="H24" s="27"/>
      <c r="I24" s="27"/>
      <c r="J24" s="27"/>
      <c r="K24" s="27"/>
      <c r="L24" s="27"/>
      <c r="M24" s="27"/>
      <c r="P24" s="26"/>
      <c r="Q24" s="26"/>
      <c r="R24" s="26"/>
      <c r="S24" s="26"/>
      <c r="T24" s="26"/>
      <c r="U24" s="26"/>
    </row>
    <row r="25" spans="1:41" ht="16.149999999999999" thickBot="1">
      <c r="A25" s="27"/>
      <c r="B25" s="80">
        <v>2</v>
      </c>
      <c r="C25" s="80"/>
      <c r="D25" s="755" t="s">
        <v>386</v>
      </c>
      <c r="E25" s="756"/>
      <c r="F25" s="24" t="s">
        <v>539</v>
      </c>
      <c r="G25" s="24"/>
      <c r="H25" s="27"/>
      <c r="I25" s="27"/>
      <c r="J25" s="27"/>
      <c r="K25" s="27"/>
      <c r="L25" s="27"/>
      <c r="M25" s="27"/>
      <c r="P25" s="26"/>
      <c r="Q25" s="26"/>
      <c r="R25" s="26"/>
      <c r="S25" s="26"/>
      <c r="T25" s="26"/>
      <c r="U25" s="26"/>
    </row>
    <row r="26" spans="1:41" ht="16.149999999999999" thickBot="1">
      <c r="A26" s="27"/>
      <c r="B26" s="80">
        <v>3</v>
      </c>
      <c r="C26" s="80"/>
      <c r="D26" s="757" t="s">
        <v>387</v>
      </c>
      <c r="E26" s="758"/>
      <c r="F26" s="24" t="s">
        <v>540</v>
      </c>
      <c r="G26" s="24"/>
      <c r="H26" s="27"/>
      <c r="I26" s="27"/>
      <c r="J26" s="27"/>
      <c r="K26" s="27"/>
      <c r="L26" s="27"/>
      <c r="M26" s="27"/>
      <c r="P26" s="26"/>
      <c r="Q26" s="26"/>
      <c r="R26" s="26"/>
      <c r="S26" s="26"/>
      <c r="T26" s="26"/>
      <c r="U26" s="26"/>
    </row>
    <row r="27" spans="1:41" ht="16.149999999999999" thickBot="1">
      <c r="A27" s="27"/>
      <c r="B27" s="80">
        <v>4</v>
      </c>
      <c r="C27" s="80"/>
      <c r="D27" s="765" t="s">
        <v>389</v>
      </c>
      <c r="E27" s="766"/>
      <c r="F27" s="24" t="s">
        <v>541</v>
      </c>
      <c r="G27" s="24"/>
      <c r="H27" s="27"/>
      <c r="I27" s="27"/>
      <c r="J27" s="27"/>
      <c r="K27" s="27"/>
      <c r="L27" s="27"/>
      <c r="M27" s="27"/>
      <c r="P27" s="26"/>
      <c r="Q27" s="26"/>
      <c r="R27" s="26"/>
      <c r="S27" s="26"/>
      <c r="T27" s="26"/>
      <c r="U27" s="26"/>
    </row>
    <row r="28" spans="1:41" ht="16.149999999999999" thickBot="1">
      <c r="A28" s="27"/>
      <c r="B28" s="80">
        <v>5</v>
      </c>
      <c r="C28" s="80"/>
      <c r="D28" s="765" t="s">
        <v>390</v>
      </c>
      <c r="E28" s="766"/>
      <c r="F28" s="24" t="s">
        <v>542</v>
      </c>
      <c r="G28" s="24"/>
      <c r="H28" s="27"/>
      <c r="I28" s="27"/>
      <c r="J28" s="27"/>
      <c r="K28" s="27"/>
      <c r="L28" s="27"/>
      <c r="M28" s="27"/>
      <c r="P28" s="26"/>
      <c r="Q28" s="26"/>
      <c r="R28" s="26"/>
      <c r="S28" s="26"/>
      <c r="T28" s="26"/>
      <c r="U28" s="26"/>
    </row>
    <row r="29" spans="1:41" ht="16.149999999999999" thickBot="1">
      <c r="A29" s="27"/>
      <c r="B29" s="80">
        <v>6</v>
      </c>
      <c r="C29" s="80"/>
      <c r="D29" s="767" t="s">
        <v>392</v>
      </c>
      <c r="E29" s="768"/>
      <c r="F29" s="24" t="s">
        <v>543</v>
      </c>
      <c r="G29" s="24"/>
      <c r="H29" s="27"/>
      <c r="I29" s="27"/>
      <c r="J29" s="27"/>
      <c r="K29" s="27"/>
      <c r="L29" s="27"/>
      <c r="M29" s="27"/>
      <c r="P29" s="26"/>
      <c r="Q29" s="26"/>
      <c r="R29" s="26"/>
      <c r="S29" s="26"/>
      <c r="T29" s="26"/>
      <c r="U29" s="26"/>
    </row>
    <row r="30" spans="1:41" ht="16.149999999999999" thickBot="1">
      <c r="A30" s="27"/>
      <c r="B30" s="80">
        <v>7</v>
      </c>
      <c r="C30" s="80"/>
      <c r="D30" s="753" t="s">
        <v>394</v>
      </c>
      <c r="E30" s="754"/>
      <c r="F30" s="24" t="s">
        <v>544</v>
      </c>
      <c r="G30" s="24"/>
      <c r="H30" s="27"/>
      <c r="I30" s="27"/>
      <c r="J30" s="27"/>
      <c r="K30" s="27"/>
      <c r="L30" s="27"/>
      <c r="M30" s="27"/>
      <c r="P30" s="26"/>
      <c r="Q30" s="26"/>
      <c r="R30" s="26"/>
      <c r="S30" s="26"/>
      <c r="T30" s="26"/>
      <c r="U30" s="26"/>
    </row>
    <row r="31" spans="1:41" ht="16.149999999999999" thickBot="1">
      <c r="B31" s="80">
        <v>8</v>
      </c>
      <c r="C31" s="80"/>
      <c r="D31" s="755" t="s">
        <v>396</v>
      </c>
      <c r="E31" s="756"/>
      <c r="F31" s="24" t="s">
        <v>545</v>
      </c>
      <c r="G31" s="24"/>
      <c r="H31" s="27"/>
      <c r="I31" s="27"/>
      <c r="J31" s="27"/>
      <c r="K31" s="27"/>
      <c r="L31" s="27"/>
      <c r="M31" s="27"/>
      <c r="P31" s="26"/>
      <c r="Q31" s="26"/>
      <c r="R31" s="26"/>
      <c r="S31" s="26"/>
      <c r="T31" s="26"/>
      <c r="U31" s="26"/>
    </row>
    <row r="32" spans="1:41" ht="16.149999999999999" thickBot="1">
      <c r="B32" s="80">
        <v>9</v>
      </c>
      <c r="C32" s="80"/>
      <c r="D32" s="761" t="s">
        <v>398</v>
      </c>
      <c r="E32" s="762"/>
      <c r="F32" s="24" t="s">
        <v>546</v>
      </c>
      <c r="G32" s="24"/>
      <c r="H32" s="27"/>
      <c r="I32" s="27"/>
      <c r="J32" s="27"/>
      <c r="K32" s="27"/>
      <c r="L32" s="27"/>
      <c r="M32" s="27"/>
      <c r="P32" s="26"/>
      <c r="Q32" s="26"/>
      <c r="R32" s="26"/>
      <c r="S32" s="26"/>
      <c r="T32" s="26"/>
      <c r="U32" s="26"/>
    </row>
    <row r="33" spans="2:31" ht="16.149999999999999" thickBot="1">
      <c r="B33" s="80">
        <v>10</v>
      </c>
      <c r="C33" s="80"/>
      <c r="D33" s="759" t="s">
        <v>400</v>
      </c>
      <c r="E33" s="760"/>
      <c r="F33" s="24" t="s">
        <v>547</v>
      </c>
      <c r="G33" s="24"/>
      <c r="H33" s="27"/>
      <c r="I33" s="27"/>
      <c r="J33" s="27"/>
      <c r="K33" s="27"/>
      <c r="L33" s="27"/>
      <c r="M33" s="27"/>
      <c r="P33" s="26"/>
      <c r="Q33" s="26"/>
      <c r="R33" s="26"/>
      <c r="S33" s="26"/>
      <c r="T33" s="26"/>
      <c r="U33" s="26"/>
    </row>
    <row r="34" spans="2:31" ht="16.149999999999999" thickBot="1">
      <c r="B34" s="80">
        <v>11</v>
      </c>
      <c r="C34" s="80"/>
      <c r="D34" s="755" t="s">
        <v>402</v>
      </c>
      <c r="E34" s="756"/>
      <c r="F34" s="24" t="s">
        <v>548</v>
      </c>
      <c r="G34" s="24"/>
      <c r="H34" s="27"/>
      <c r="I34" s="27"/>
      <c r="J34" s="27"/>
      <c r="K34" s="27"/>
      <c r="L34" s="27"/>
      <c r="M34" s="27"/>
      <c r="P34" s="26"/>
      <c r="Q34" s="26"/>
      <c r="R34" s="26"/>
      <c r="S34" s="26"/>
      <c r="T34" s="26"/>
      <c r="U34" s="26"/>
    </row>
    <row r="35" spans="2:31" ht="16.149999999999999" thickBot="1">
      <c r="B35" s="80">
        <v>12</v>
      </c>
      <c r="C35" s="80"/>
      <c r="D35" s="761" t="s">
        <v>404</v>
      </c>
      <c r="E35" s="762"/>
      <c r="F35" s="24" t="s">
        <v>549</v>
      </c>
      <c r="G35" s="24"/>
      <c r="H35" s="27"/>
      <c r="I35" s="27"/>
      <c r="J35" s="27"/>
      <c r="K35" s="27"/>
      <c r="L35" s="27"/>
      <c r="M35" s="27"/>
      <c r="P35" s="26"/>
      <c r="Q35" s="26"/>
      <c r="R35" s="26"/>
      <c r="S35" s="26"/>
      <c r="T35" s="26"/>
      <c r="U35" s="26"/>
    </row>
    <row r="36" spans="2:31" ht="16.149999999999999" thickBot="1">
      <c r="B36" s="80">
        <v>13</v>
      </c>
      <c r="C36" s="80"/>
      <c r="D36" s="763" t="s">
        <v>406</v>
      </c>
      <c r="E36" s="764"/>
      <c r="F36" s="24" t="s">
        <v>550</v>
      </c>
      <c r="G36" s="24"/>
      <c r="H36" s="27"/>
      <c r="I36" s="27"/>
      <c r="J36" s="27"/>
      <c r="K36" s="27"/>
      <c r="L36" s="27"/>
      <c r="M36" s="27"/>
      <c r="P36" s="26"/>
      <c r="Q36" s="26"/>
      <c r="R36" s="26"/>
      <c r="S36" s="26"/>
      <c r="T36" s="26"/>
      <c r="U36" s="26"/>
    </row>
    <row r="37" spans="2:31" ht="14.45">
      <c r="B37" s="27"/>
      <c r="C37" s="27"/>
      <c r="H37" s="27"/>
      <c r="I37" s="27"/>
      <c r="J37" s="27"/>
      <c r="K37" s="27"/>
      <c r="L37" s="27"/>
      <c r="M37" s="27"/>
      <c r="P37" s="26"/>
      <c r="Q37" s="26"/>
      <c r="R37" s="26"/>
      <c r="S37" s="26"/>
      <c r="T37" s="26"/>
      <c r="U37" s="26"/>
    </row>
    <row r="38" spans="2:31" ht="5.25" customHeight="1">
      <c r="P38" s="26"/>
      <c r="Q38" s="26"/>
      <c r="R38" s="26"/>
      <c r="S38" s="26"/>
      <c r="T38" s="26"/>
      <c r="U38" s="26"/>
      <c r="AD38" s="18"/>
      <c r="AE38" s="18"/>
    </row>
    <row r="39" spans="2:31" ht="14.45">
      <c r="P39" s="26"/>
      <c r="Q39" s="26"/>
      <c r="R39" s="26"/>
      <c r="S39" s="26"/>
      <c r="T39" s="26"/>
      <c r="U39" s="26"/>
    </row>
    <row r="40" spans="2:31" ht="14.45">
      <c r="P40" s="26"/>
      <c r="Q40" s="26"/>
      <c r="R40" s="26"/>
      <c r="S40" s="26"/>
      <c r="T40" s="26"/>
      <c r="U40" s="26"/>
    </row>
    <row r="41" spans="2:31" ht="14.45">
      <c r="P41" s="28"/>
      <c r="Q41" s="28"/>
      <c r="R41" s="28"/>
      <c r="S41" s="28"/>
      <c r="T41" s="28"/>
      <c r="U41" s="28"/>
    </row>
    <row r="42" spans="2:31" ht="14.45">
      <c r="P42" s="28"/>
      <c r="Q42" s="28"/>
      <c r="R42" s="28"/>
      <c r="S42" s="28"/>
      <c r="T42" s="28"/>
      <c r="U42" s="28"/>
    </row>
    <row r="43" spans="2:31" ht="14.45">
      <c r="P43" s="28"/>
      <c r="Q43" s="28"/>
      <c r="R43" s="28"/>
      <c r="S43" s="28"/>
      <c r="T43" s="28"/>
      <c r="U43" s="28"/>
    </row>
    <row r="44" spans="2:31" ht="14.45">
      <c r="P44" s="28"/>
      <c r="Q44" s="28"/>
      <c r="R44" s="28"/>
      <c r="S44" s="28"/>
      <c r="T44" s="28"/>
      <c r="U44" s="28"/>
    </row>
    <row r="45" spans="2:31" ht="14.45">
      <c r="P45" s="28"/>
      <c r="Q45" s="28"/>
      <c r="R45" s="28"/>
      <c r="S45" s="28"/>
      <c r="T45" s="28"/>
      <c r="U45" s="28"/>
    </row>
    <row r="46" spans="2:31" ht="14.45">
      <c r="P46" s="28"/>
      <c r="Q46" s="28"/>
      <c r="R46" s="28"/>
      <c r="S46" s="28"/>
      <c r="T46" s="28"/>
      <c r="U46" s="28"/>
    </row>
  </sheetData>
  <mergeCells count="15">
    <mergeCell ref="D33:E33"/>
    <mergeCell ref="D34:E34"/>
    <mergeCell ref="D35:E35"/>
    <mergeCell ref="D36:E36"/>
    <mergeCell ref="D27:E27"/>
    <mergeCell ref="D29:E29"/>
    <mergeCell ref="D30:E30"/>
    <mergeCell ref="D31:E31"/>
    <mergeCell ref="D32:E32"/>
    <mergeCell ref="D28:E28"/>
    <mergeCell ref="AD21:AE21"/>
    <mergeCell ref="B21:AA21"/>
    <mergeCell ref="D24:E24"/>
    <mergeCell ref="D25:E25"/>
    <mergeCell ref="D26:E26"/>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8C81-7C12-44F1-B2F9-D3EFCF38F05B}">
  <sheetPr codeName="Hoja5"/>
  <dimension ref="A1:AB7"/>
  <sheetViews>
    <sheetView showGridLines="0" zoomScale="90" zoomScaleNormal="90" workbookViewId="0">
      <selection activeCell="M17" sqref="M17"/>
    </sheetView>
  </sheetViews>
  <sheetFormatPr defaultColWidth="11.42578125" defaultRowHeight="14.45"/>
  <cols>
    <col min="1" max="1" width="13.140625" customWidth="1"/>
    <col min="2" max="2" width="16.85546875" customWidth="1"/>
    <col min="3" max="3" width="42.140625" customWidth="1"/>
    <col min="4" max="4" width="25.7109375" customWidth="1"/>
    <col min="5" max="5" width="16.28515625" customWidth="1"/>
    <col min="6" max="6" width="12.7109375" customWidth="1"/>
    <col min="7" max="7" width="28.140625" customWidth="1"/>
    <col min="8" max="8" width="19.5703125" customWidth="1"/>
    <col min="9" max="9" width="14.140625" customWidth="1"/>
    <col min="10" max="10" width="10.140625" customWidth="1"/>
    <col min="11" max="11" width="9.140625" customWidth="1"/>
    <col min="12" max="12" width="9.85546875" customWidth="1"/>
    <col min="13" max="14" width="10.140625" customWidth="1"/>
    <col min="15" max="15" width="11.42578125" customWidth="1"/>
    <col min="16" max="16" width="11" customWidth="1"/>
    <col min="17" max="17" width="11.85546875" customWidth="1"/>
    <col min="18" max="18" width="7.85546875" customWidth="1"/>
    <col min="19" max="19" width="9.85546875" customWidth="1"/>
    <col min="20" max="21" width="7.85546875" customWidth="1"/>
    <col min="22" max="22" width="8.7109375" customWidth="1"/>
    <col min="23" max="23" width="12.85546875" customWidth="1"/>
    <col min="24" max="24" width="12" customWidth="1"/>
    <col min="25" max="25" width="40.5703125" customWidth="1"/>
  </cols>
  <sheetData>
    <row r="1" spans="1:28" ht="59.45" customHeight="1" thickBot="1">
      <c r="A1" s="769" t="s">
        <v>551</v>
      </c>
      <c r="B1" s="770"/>
      <c r="C1" s="770"/>
      <c r="D1" s="770"/>
      <c r="E1" s="770"/>
      <c r="F1" s="770"/>
      <c r="G1" s="770"/>
      <c r="H1" s="770"/>
      <c r="I1" s="770"/>
      <c r="J1" s="770"/>
      <c r="K1" s="770"/>
      <c r="L1" s="770"/>
      <c r="M1" s="770"/>
      <c r="N1" s="770"/>
      <c r="O1" s="770"/>
      <c r="P1" s="770"/>
      <c r="Q1" s="770"/>
      <c r="R1" s="770"/>
      <c r="S1" s="770"/>
      <c r="T1" s="770"/>
      <c r="U1" s="770"/>
      <c r="V1" s="770"/>
      <c r="W1" s="770"/>
      <c r="X1" s="770"/>
      <c r="Y1" s="770"/>
      <c r="Z1" s="40"/>
      <c r="AA1" s="40"/>
      <c r="AB1" s="39"/>
    </row>
    <row r="2" spans="1:28" ht="21.6" customHeight="1" thickBot="1">
      <c r="A2" s="41"/>
      <c r="B2" s="39"/>
      <c r="C2" s="39"/>
      <c r="D2" s="39"/>
      <c r="E2" s="39"/>
      <c r="F2" s="39"/>
      <c r="G2" s="39"/>
      <c r="H2" s="39"/>
      <c r="I2" s="39"/>
      <c r="J2" s="771" t="s">
        <v>377</v>
      </c>
      <c r="K2" s="772"/>
      <c r="L2" s="772"/>
      <c r="M2" s="772"/>
      <c r="N2" s="772"/>
      <c r="O2" s="772"/>
      <c r="P2" s="772"/>
      <c r="Q2" s="772"/>
      <c r="R2" s="772"/>
      <c r="S2" s="772"/>
      <c r="T2" s="772"/>
      <c r="U2" s="772"/>
      <c r="V2" s="773"/>
      <c r="W2" s="39"/>
      <c r="X2" s="39"/>
      <c r="Y2" s="39"/>
      <c r="Z2" s="40"/>
      <c r="AA2" s="40"/>
      <c r="AB2" s="39"/>
    </row>
    <row r="3" spans="1:28" s="95" customFormat="1" ht="31.15" customHeight="1">
      <c r="A3" s="221" t="s">
        <v>552</v>
      </c>
      <c r="B3" s="221" t="s">
        <v>553</v>
      </c>
      <c r="C3" s="221" t="s">
        <v>379</v>
      </c>
      <c r="D3" s="222" t="s">
        <v>554</v>
      </c>
      <c r="E3" s="221" t="s">
        <v>12</v>
      </c>
      <c r="F3" s="223" t="s">
        <v>381</v>
      </c>
      <c r="G3" s="221" t="s">
        <v>382</v>
      </c>
      <c r="H3" s="221" t="s">
        <v>383</v>
      </c>
      <c r="I3" s="221" t="s">
        <v>555</v>
      </c>
      <c r="J3" s="224" t="s">
        <v>385</v>
      </c>
      <c r="K3" s="224" t="s">
        <v>386</v>
      </c>
      <c r="L3" s="224" t="s">
        <v>387</v>
      </c>
      <c r="M3" s="224" t="s">
        <v>389</v>
      </c>
      <c r="N3" s="224" t="s">
        <v>390</v>
      </c>
      <c r="O3" s="224" t="s">
        <v>392</v>
      </c>
      <c r="P3" s="224" t="s">
        <v>394</v>
      </c>
      <c r="Q3" s="225" t="s">
        <v>396</v>
      </c>
      <c r="R3" s="224" t="s">
        <v>398</v>
      </c>
      <c r="S3" s="224" t="s">
        <v>400</v>
      </c>
      <c r="T3" s="224" t="s">
        <v>402</v>
      </c>
      <c r="U3" s="224" t="s">
        <v>404</v>
      </c>
      <c r="V3" s="224" t="s">
        <v>406</v>
      </c>
      <c r="W3" s="221" t="s">
        <v>408</v>
      </c>
      <c r="X3" s="221" t="s">
        <v>409</v>
      </c>
      <c r="Y3" s="223" t="s">
        <v>410</v>
      </c>
      <c r="Z3" s="96"/>
      <c r="AA3" s="96"/>
      <c r="AB3" s="97"/>
    </row>
    <row r="4" spans="1:28">
      <c r="A4" s="219"/>
      <c r="B4" s="220"/>
      <c r="C4" s="217"/>
      <c r="D4" s="218"/>
      <c r="E4" s="218"/>
      <c r="F4" s="218"/>
      <c r="G4" s="218"/>
      <c r="H4" s="218"/>
      <c r="I4" s="218"/>
      <c r="J4" s="40"/>
      <c r="K4" s="40"/>
      <c r="L4" s="40"/>
      <c r="M4" s="40"/>
      <c r="N4" s="40"/>
      <c r="O4" s="40"/>
      <c r="P4" s="40"/>
      <c r="Q4" s="40"/>
      <c r="R4" s="40"/>
      <c r="S4" s="40"/>
      <c r="T4" s="40"/>
      <c r="U4" s="40"/>
      <c r="V4" s="40"/>
      <c r="W4" s="40"/>
      <c r="X4" s="40"/>
      <c r="Y4" s="238"/>
      <c r="Z4" s="40"/>
      <c r="AA4" s="40"/>
      <c r="AB4" s="40"/>
    </row>
    <row r="5" spans="1:28">
      <c r="A5" s="219"/>
      <c r="B5" s="220"/>
      <c r="C5" s="217"/>
      <c r="D5" s="218"/>
      <c r="E5" s="218"/>
      <c r="F5" s="218"/>
      <c r="G5" s="218"/>
      <c r="H5" s="218"/>
      <c r="I5" s="218"/>
      <c r="J5" s="40"/>
      <c r="K5" s="40"/>
      <c r="L5" s="40"/>
      <c r="M5" s="40"/>
      <c r="N5" s="40"/>
      <c r="O5" s="40"/>
      <c r="P5" s="40"/>
      <c r="Q5" s="40"/>
      <c r="R5" s="40"/>
      <c r="S5" s="40"/>
      <c r="T5" s="40"/>
      <c r="U5" s="40"/>
      <c r="V5" s="40"/>
      <c r="W5" s="40"/>
      <c r="X5" s="40"/>
      <c r="Y5" s="238"/>
      <c r="Z5" s="40"/>
      <c r="AA5" s="40"/>
      <c r="AB5" s="40"/>
    </row>
    <row r="6" spans="1:28">
      <c r="A6" s="219"/>
      <c r="B6" s="220"/>
      <c r="C6" s="217"/>
      <c r="D6" s="218"/>
      <c r="E6" s="218"/>
      <c r="F6" s="218"/>
      <c r="G6" s="218"/>
      <c r="H6" s="218"/>
      <c r="I6" s="218"/>
      <c r="J6" s="40"/>
      <c r="K6" s="40"/>
      <c r="L6" s="40"/>
      <c r="M6" s="40"/>
      <c r="N6" s="40"/>
      <c r="O6" s="40"/>
      <c r="P6" s="40"/>
      <c r="Q6" s="40"/>
      <c r="R6" s="40"/>
      <c r="S6" s="40"/>
      <c r="T6" s="40"/>
      <c r="U6" s="40"/>
      <c r="V6" s="40"/>
      <c r="W6" s="40"/>
      <c r="X6" s="40"/>
      <c r="Y6" s="238"/>
      <c r="Z6" s="40"/>
      <c r="AA6" s="40"/>
      <c r="AB6" s="40"/>
    </row>
    <row r="7" spans="1:28">
      <c r="A7" s="219" t="s">
        <v>556</v>
      </c>
      <c r="B7" s="226"/>
      <c r="C7" s="218">
        <f>SUBTOTAL(103,Tabla7[SEDE])</f>
        <v>0</v>
      </c>
      <c r="D7" s="218"/>
      <c r="E7" s="218"/>
      <c r="F7" s="218"/>
      <c r="G7" s="218"/>
      <c r="H7" s="218">
        <f>SUBTOTAL(109,Tabla7[HORAS EJECUTADAS])</f>
        <v>0</v>
      </c>
      <c r="I7" s="218">
        <f>SUBTOTAL(109,Tabla7[Q AUTOGEST.])</f>
        <v>0</v>
      </c>
      <c r="J7" s="218">
        <f>SUBTOTAL(109,Tabla7[HID-SAN])</f>
        <v>0</v>
      </c>
      <c r="K7" s="218">
        <f>SUBTOTAL(109,Tabla7[INS-ELE])</f>
        <v>0</v>
      </c>
      <c r="L7" s="218">
        <f>SUBTOTAL(109,Tabla7[OBR-CIV])</f>
        <v>0</v>
      </c>
      <c r="M7" s="218">
        <f>SUBTOTAL(109,Tabla7[APY-LOG])</f>
        <v>0</v>
      </c>
      <c r="N7" s="218">
        <f>SUBTOTAL(109,Tabla7[APY-MTTO])</f>
        <v>0</v>
      </c>
      <c r="O7" s="218">
        <f>SUBTOTAL(109,Tabla7[CARP-MET])</f>
        <v>0</v>
      </c>
      <c r="P7" s="218">
        <f>SUBTOTAL(109,Tabla7[CHA-LLAV])</f>
        <v>0</v>
      </c>
      <c r="Q7" s="218">
        <f>SUBTOTAL(109,Tabla7[CARP-MAD])</f>
        <v>0</v>
      </c>
      <c r="R7" s="218">
        <f>SUBTOTAL(109,Tabla7[PINT])</f>
        <v>0</v>
      </c>
      <c r="S7" s="218">
        <f>SUBTOTAL(109,Tabla7[ADE-OFI])</f>
        <v>0</v>
      </c>
      <c r="T7" s="218">
        <f>SUBTOTAL(109,Tabla7[CUBI])</f>
        <v>0</v>
      </c>
      <c r="U7" s="218">
        <f>SUBTOTAL(109,Tabla7[SEÑA])</f>
        <v>0</v>
      </c>
      <c r="V7" s="218">
        <f>SUBTOTAL(109,Tabla7[PERSIA])</f>
        <v>0</v>
      </c>
      <c r="W7" s="218">
        <f>SUBTOTAL(109,Tabla7[CON COBRO])</f>
        <v>0</v>
      </c>
      <c r="X7" s="218">
        <f>SUBTOTAL(109,Tabla7[SIN COBRO])</f>
        <v>0</v>
      </c>
      <c r="Y7" s="227"/>
    </row>
  </sheetData>
  <mergeCells count="2">
    <mergeCell ref="A1:Y1"/>
    <mergeCell ref="J2:V2"/>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27D3-0769-4D6D-88CE-F30732B22FA3}">
  <sheetPr codeName="Hoja9"/>
  <dimension ref="A1:K39"/>
  <sheetViews>
    <sheetView showGridLines="0" workbookViewId="0">
      <pane xSplit="1" ySplit="2" topLeftCell="B24" activePane="bottomRight" state="frozen"/>
      <selection pane="bottomRight" activeCell="G39" sqref="G39"/>
      <selection pane="bottomLeft" activeCell="B50" sqref="B50"/>
      <selection pane="topRight" activeCell="B50" sqref="B50"/>
    </sheetView>
  </sheetViews>
  <sheetFormatPr defaultColWidth="11.42578125" defaultRowHeight="14.45"/>
  <cols>
    <col min="1" max="1" width="59.5703125" style="320" bestFit="1" customWidth="1"/>
    <col min="2" max="2" width="13.140625" style="18" bestFit="1" customWidth="1"/>
    <col min="3" max="3" width="16.85546875" style="18" bestFit="1" customWidth="1"/>
    <col min="4" max="4" width="26.28515625" style="18" bestFit="1" customWidth="1"/>
    <col min="5" max="5" width="28.42578125" style="18" bestFit="1" customWidth="1"/>
    <col min="6" max="7" width="50" customWidth="1"/>
    <col min="8" max="8" width="91.85546875" bestFit="1" customWidth="1"/>
    <col min="9" max="9" width="37.140625" bestFit="1" customWidth="1"/>
    <col min="10" max="10" width="61.140625" customWidth="1"/>
    <col min="11" max="11" width="49.85546875" customWidth="1"/>
  </cols>
  <sheetData>
    <row r="1" spans="1:11" s="313" customFormat="1" ht="18.600000000000001" thickBot="1">
      <c r="A1" s="774" t="s">
        <v>557</v>
      </c>
      <c r="B1" s="775"/>
      <c r="C1" s="775"/>
      <c r="D1" s="775"/>
      <c r="E1" s="776"/>
      <c r="F1" s="777" t="s">
        <v>558</v>
      </c>
      <c r="G1" s="778"/>
      <c r="H1" s="779" t="s">
        <v>559</v>
      </c>
      <c r="I1" s="780"/>
      <c r="J1" s="780"/>
      <c r="K1" s="781"/>
    </row>
    <row r="3" spans="1:11" s="18" customFormat="1" ht="15.6">
      <c r="A3" s="310" t="s">
        <v>560</v>
      </c>
      <c r="B3" s="310" t="s">
        <v>561</v>
      </c>
      <c r="C3" s="310" t="s">
        <v>12</v>
      </c>
      <c r="D3" s="99" t="s">
        <v>562</v>
      </c>
      <c r="E3" s="99" t="s">
        <v>563</v>
      </c>
      <c r="F3" s="311" t="s">
        <v>564</v>
      </c>
      <c r="G3" s="311" t="s">
        <v>565</v>
      </c>
      <c r="H3" s="312" t="s">
        <v>566</v>
      </c>
      <c r="I3" s="312" t="s">
        <v>567</v>
      </c>
      <c r="J3" s="312" t="s">
        <v>568</v>
      </c>
      <c r="K3" s="312" t="s">
        <v>569</v>
      </c>
    </row>
    <row r="4" spans="1:11" ht="15">
      <c r="A4" s="544"/>
      <c r="B4" s="315" t="e">
        <f>VLOOKUP(Tabla425[[#This Row],[sabado, 13 de junio 2026]],'Cronog Junio 2026'!B:AT,4,0)</f>
        <v>#N/A</v>
      </c>
      <c r="C4" s="315" t="e">
        <f>VLOOKUP(Tabla425[[#This Row],[sabado, 13 de junio 2026]],'Cronog Junio 2026'!B:AT,6,0)</f>
        <v>#N/A</v>
      </c>
      <c r="D4" s="100" t="e">
        <f>VLOOKUP(Tabla425[[#This Row],[sabado, 13 de junio 2026]],'Cronog Junio 2026'!B:AT,2,0)</f>
        <v>#N/A</v>
      </c>
      <c r="E4" s="316" t="s">
        <v>570</v>
      </c>
      <c r="F4" t="e">
        <f>VLOOKUP(Tabla425[[#This Row],[sabado, 13 de junio 2026]],'CORREOS 01'!A:B,2,0)</f>
        <v>#N/A</v>
      </c>
      <c r="G4" t="e">
        <f>VLOOKUP(Tabla425[[#This Row],[Facilitador Comfandi]],#REF!,2,0)</f>
        <v>#REF!</v>
      </c>
      <c r="H4" t="str">
        <f>IFERROR(VLOOKUP(Tabla425[[#This Row],[UES]],'Directorio Infraestructura'!$A$37:$D$41,4,0),"")</f>
        <v/>
      </c>
      <c r="I4" t="e">
        <f>IF(Tabla425[[#This Row],[Ciudad]]="Cali",'Directorio Infraestructura'!$B$31,'Directorio Infraestructura'!$B$32)</f>
        <v>#N/A</v>
      </c>
      <c r="J4"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4" t="str">
        <f>'Directorio Infraestructura'!$B$49</f>
        <v>analista1sst.comfandi@brillaseo.com; jhaidy.ruiz@brillaseo.com; almacen1.comfandi@brillaseo.com; alejandro.marin@brillaseo.co;andres.ramirez@brillaseo.co;bryan.martinez@brillaseo.co;adrian.restrepo@brillaseo.co</v>
      </c>
    </row>
    <row r="5" spans="1:11">
      <c r="A5" s="317"/>
      <c r="B5" s="315" t="e">
        <f>VLOOKUP(Tabla425[[#This Row],[sabado, 13 de junio 2026]],'Cronog Junio 2026'!B:AT,4,0)</f>
        <v>#N/A</v>
      </c>
      <c r="C5" s="315" t="e">
        <f>VLOOKUP(Tabla425[[#This Row],[sabado, 13 de junio 2026]],'Cronog Junio 2026'!B:AT,6,0)</f>
        <v>#N/A</v>
      </c>
      <c r="D5" s="100" t="e">
        <f>VLOOKUP(Tabla425[[#This Row],[sabado, 13 de junio 2026]],'Cronog Junio 2026'!B:AT,2,0)</f>
        <v>#N/A</v>
      </c>
      <c r="E5" s="316" t="e">
        <f>VLOOKUP(Tabla425[[#This Row],[sabado, 13 de junio 2026]],#REF!,10,0)</f>
        <v>#REF!</v>
      </c>
      <c r="F5" t="e">
        <f>VLOOKUP(Tabla425[[#This Row],[sabado, 13 de junio 2026]],'CORREOS 01'!A:B,2,0)</f>
        <v>#N/A</v>
      </c>
      <c r="G5" t="e">
        <f>VLOOKUP(Tabla425[[#This Row],[Facilitador Comfandi]],#REF!,2,0)</f>
        <v>#REF!</v>
      </c>
      <c r="H5" t="str">
        <f>IFERROR(VLOOKUP(Tabla425[[#This Row],[UES]],'Directorio Infraestructura'!$A$37:$D$41,4,0),"")</f>
        <v/>
      </c>
      <c r="I5" t="e">
        <f>IF(Tabla425[[#This Row],[Ciudad]]="Cali",'Directorio Infraestructura'!$B$31,'Directorio Infraestructura'!$B$32)</f>
        <v>#N/A</v>
      </c>
    </row>
    <row r="6" spans="1:11">
      <c r="A6" s="318"/>
      <c r="B6" s="315" t="e">
        <f>VLOOKUP(Tabla425[[#This Row],[sabado, 13 de junio 2026]],'Cronog Junio 2026'!B:AT,4,0)</f>
        <v>#N/A</v>
      </c>
      <c r="C6" s="315" t="e">
        <f>VLOOKUP(Tabla425[[#This Row],[sabado, 13 de junio 2026]],'Cronog Junio 2026'!B:AT,6,0)</f>
        <v>#N/A</v>
      </c>
      <c r="D6" s="100" t="e">
        <f>VLOOKUP(Tabla425[[#This Row],[sabado, 13 de junio 2026]],'Cronog Junio 2026'!B:AT,2,0)</f>
        <v>#N/A</v>
      </c>
      <c r="E6" s="316" t="e">
        <f>VLOOKUP(Tabla425[[#This Row],[sabado, 13 de junio 2026]],#REF!,10,0)</f>
        <v>#REF!</v>
      </c>
      <c r="F6" t="e">
        <f>VLOOKUP(Tabla425[[#This Row],[sabado, 13 de junio 2026]],'CORREOS 01'!A:B,2,0)</f>
        <v>#N/A</v>
      </c>
      <c r="G6" t="e">
        <f>VLOOKUP(Tabla425[[#This Row],[Facilitador Comfandi]],#REF!,2,0)</f>
        <v>#REF!</v>
      </c>
      <c r="H6" t="str">
        <f>IFERROR(VLOOKUP(Tabla425[[#This Row],[UES]],'Directorio Infraestructura'!$A$37:$D$41,4,0),"")</f>
        <v/>
      </c>
      <c r="I6" t="e">
        <f>IF(Tabla425[[#This Row],[Ciudad]]="Cali",'Directorio Infraestructura'!$B$31,'Directorio Infraestructura'!$B$32)</f>
        <v>#N/A</v>
      </c>
    </row>
    <row r="7" spans="1:11">
      <c r="A7" s="318"/>
      <c r="B7" s="315" t="e">
        <f>VLOOKUP(Tabla425[[#This Row],[sabado, 13 de junio 2026]],'Cronog Junio 2026'!B:AT,4,0)</f>
        <v>#N/A</v>
      </c>
      <c r="C7" s="315" t="e">
        <f>VLOOKUP(Tabla425[[#This Row],[sabado, 13 de junio 2026]],'Cronog Junio 2026'!B:AT,6,0)</f>
        <v>#N/A</v>
      </c>
      <c r="D7" s="100" t="e">
        <f>VLOOKUP(Tabla425[[#This Row],[sabado, 13 de junio 2026]],'Cronog Junio 2026'!B:AT,2,0)</f>
        <v>#N/A</v>
      </c>
      <c r="E7" s="316" t="e">
        <f>VLOOKUP(Tabla425[[#This Row],[sabado, 13 de junio 2026]],#REF!,10,0)</f>
        <v>#REF!</v>
      </c>
      <c r="F7" t="e">
        <f>VLOOKUP(Tabla425[[#This Row],[sabado, 13 de junio 2026]],'CORREOS 01'!A:B,2,0)</f>
        <v>#N/A</v>
      </c>
      <c r="G7" t="e">
        <f>VLOOKUP(Tabla425[[#This Row],[Facilitador Comfandi]],#REF!,2,0)</f>
        <v>#REF!</v>
      </c>
      <c r="H7" t="str">
        <f>IFERROR(VLOOKUP(Tabla425[[#This Row],[UES]],'Directorio Infraestructura'!$A$37:$D$41,4,0),"")</f>
        <v/>
      </c>
      <c r="I7" t="e">
        <f>IF(Tabla425[[#This Row],[Ciudad]]="Cali",'Directorio Infraestructura'!$B$31,'Directorio Infraestructura'!$B$32)</f>
        <v>#N/A</v>
      </c>
    </row>
    <row r="8" spans="1:11">
      <c r="A8" s="318"/>
      <c r="B8" s="315" t="e">
        <f>VLOOKUP(Tabla425[[#This Row],[sabado, 13 de junio 2026]],'Cronog Junio 2026'!B:AT,4,0)</f>
        <v>#N/A</v>
      </c>
      <c r="C8" s="315" t="e">
        <f>VLOOKUP(Tabla425[[#This Row],[sabado, 13 de junio 2026]],'Cronog Junio 2026'!B:AT,6,0)</f>
        <v>#N/A</v>
      </c>
      <c r="D8" s="100" t="e">
        <f>VLOOKUP(Tabla425[[#This Row],[sabado, 13 de junio 2026]],'Cronog Junio 2026'!B:AT,2,0)</f>
        <v>#N/A</v>
      </c>
      <c r="E8" s="316" t="e">
        <f>VLOOKUP(Tabla425[[#This Row],[sabado, 13 de junio 2026]],#REF!,10,0)</f>
        <v>#REF!</v>
      </c>
      <c r="F8" t="e">
        <f>VLOOKUP(Tabla425[[#This Row],[sabado, 13 de junio 2026]],'CORREOS 01'!A:B,2,0)</f>
        <v>#N/A</v>
      </c>
      <c r="G8" t="e">
        <f>VLOOKUP(Tabla425[[#This Row],[Facilitador Comfandi]],#REF!,2,0)</f>
        <v>#REF!</v>
      </c>
      <c r="H8" t="str">
        <f>IFERROR(VLOOKUP(Tabla425[[#This Row],[UES]],'Directorio Infraestructura'!$A$37:$D$41,4,0),"")</f>
        <v/>
      </c>
      <c r="I8" t="e">
        <f>IF(Tabla425[[#This Row],[Ciudad]]="Cali",'Directorio Infraestructura'!$B$31,'Directorio Infraestructura'!$B$32)</f>
        <v>#N/A</v>
      </c>
    </row>
    <row r="9" spans="1:11">
      <c r="A9" s="318"/>
      <c r="B9" s="315" t="e">
        <f>VLOOKUP(Tabla425[[#This Row],[sabado, 13 de junio 2026]],'Cronog Junio 2026'!B:AT,4,0)</f>
        <v>#N/A</v>
      </c>
      <c r="C9" s="315" t="e">
        <f>VLOOKUP(Tabla425[[#This Row],[sabado, 13 de junio 2026]],'Cronog Junio 2026'!B:AT,6,0)</f>
        <v>#N/A</v>
      </c>
      <c r="D9" s="100" t="e">
        <f>VLOOKUP(Tabla425[[#This Row],[sabado, 13 de junio 2026]],'Cronog Junio 2026'!B:AT,2,0)</f>
        <v>#N/A</v>
      </c>
      <c r="E9" s="316" t="e">
        <f>VLOOKUP(Tabla425[[#This Row],[sabado, 13 de junio 2026]],#REF!,10,0)</f>
        <v>#REF!</v>
      </c>
      <c r="F9" t="e">
        <f>VLOOKUP(Tabla425[[#This Row],[sabado, 13 de junio 2026]],'CORREOS 01'!A:B,2,0)</f>
        <v>#N/A</v>
      </c>
      <c r="G9" t="e">
        <f>VLOOKUP(Tabla425[[#This Row],[Facilitador Comfandi]],#REF!,2,0)</f>
        <v>#REF!</v>
      </c>
      <c r="H9" t="str">
        <f>IFERROR(VLOOKUP(Tabla425[[#This Row],[UES]],'Directorio Infraestructura'!$A$37:$D$41,4,0),"")</f>
        <v/>
      </c>
      <c r="I9" t="e">
        <f>IF(Tabla425[[#This Row],[Ciudad]]="Cali",'Directorio Infraestructura'!$B$31,'Directorio Infraestructura'!$B$32)</f>
        <v>#N/A</v>
      </c>
    </row>
    <row r="10" spans="1:11">
      <c r="A10" s="319"/>
      <c r="B10" s="315" t="e">
        <f>VLOOKUP(Tabla425[[#This Row],[sabado, 13 de junio 2026]],'Cronog Junio 2026'!B:AT,4,0)</f>
        <v>#N/A</v>
      </c>
      <c r="C10" s="315" t="e">
        <f>VLOOKUP(Tabla425[[#This Row],[sabado, 13 de junio 2026]],'Cronog Junio 2026'!B:AT,6,0)</f>
        <v>#N/A</v>
      </c>
      <c r="D10" s="100" t="e">
        <f>VLOOKUP(Tabla425[[#This Row],[sabado, 13 de junio 2026]],'Cronog Junio 2026'!B:AT,2,0)</f>
        <v>#N/A</v>
      </c>
      <c r="E10" s="314" t="e">
        <f>VLOOKUP(Tabla425[[#This Row],[sabado, 13 de junio 2026]],#REF!,10,0)</f>
        <v>#REF!</v>
      </c>
      <c r="F10" t="e">
        <f>VLOOKUP(Tabla425[[#This Row],[sabado, 13 de junio 2026]],'CORREOS 01'!A:B,2,0)</f>
        <v>#N/A</v>
      </c>
      <c r="G10" t="e">
        <f>VLOOKUP(Tabla425[[#This Row],[Facilitador Comfandi]],#REF!,2,0)</f>
        <v>#REF!</v>
      </c>
      <c r="H10" t="str">
        <f>IFERROR(VLOOKUP(Tabla425[[#This Row],[UES]],'Directorio Infraestructura'!$A$37:$D$41,4,0),"")</f>
        <v/>
      </c>
      <c r="I10" t="e">
        <f>IF(Tabla425[[#This Row],[Ciudad]]="Cali",'Directorio Infraestructura'!$B$31,'Directorio Infraestructura'!$B$32)</f>
        <v>#N/A</v>
      </c>
    </row>
    <row r="11" spans="1:11">
      <c r="A11" s="319"/>
      <c r="B11" s="315" t="e">
        <f>VLOOKUP(Tabla425[[#This Row],[sabado, 13 de junio 2026]],'Cronog Junio 2026'!B:AT,4,0)</f>
        <v>#N/A</v>
      </c>
      <c r="C11" s="315" t="e">
        <f>VLOOKUP(Tabla425[[#This Row],[sabado, 13 de junio 2026]],'Cronog Junio 2026'!B:AT,6,0)</f>
        <v>#N/A</v>
      </c>
      <c r="D11" s="100" t="e">
        <f>VLOOKUP(Tabla425[[#This Row],[sabado, 13 de junio 2026]],'Cronog Junio 2026'!B:AT,2,0)</f>
        <v>#N/A</v>
      </c>
      <c r="E11" s="314" t="e">
        <f>VLOOKUP(Tabla425[[#This Row],[sabado, 13 de junio 2026]],#REF!,10,0)</f>
        <v>#REF!</v>
      </c>
      <c r="F11" t="e">
        <f>VLOOKUP(Tabla425[[#This Row],[sabado, 13 de junio 2026]],'CORREOS 01'!A:B,2,0)</f>
        <v>#N/A</v>
      </c>
      <c r="G11" t="e">
        <f>VLOOKUP(Tabla425[[#This Row],[Facilitador Comfandi]],#REF!,2,0)</f>
        <v>#REF!</v>
      </c>
      <c r="H11" t="str">
        <f>IFERROR(VLOOKUP(Tabla425[[#This Row],[UES]],'Directorio Infraestructura'!$A$37:$D$41,4,0),"")</f>
        <v/>
      </c>
      <c r="I11" t="e">
        <f>IF(Tabla425[[#This Row],[Ciudad]]="Cali",'Directorio Infraestructura'!$B$31,'Directorio Infraestructura'!$B$32)</f>
        <v>#N/A</v>
      </c>
    </row>
    <row r="12" spans="1:11">
      <c r="A12" s="319"/>
      <c r="B12" s="315" t="e">
        <f>VLOOKUP(Tabla425[[#This Row],[sabado, 13 de junio 2026]],'Cronog Junio 2026'!B:AT,4,0)</f>
        <v>#N/A</v>
      </c>
      <c r="C12" s="315" t="e">
        <f>VLOOKUP(Tabla425[[#This Row],[sabado, 13 de junio 2026]],'Cronog Junio 2026'!B:AT,6,0)</f>
        <v>#N/A</v>
      </c>
      <c r="D12" s="100" t="e">
        <f>VLOOKUP(Tabla425[[#This Row],[sabado, 13 de junio 2026]],'Cronog Junio 2026'!B:AT,2,0)</f>
        <v>#N/A</v>
      </c>
      <c r="E12" s="314" t="e">
        <f>VLOOKUP(Tabla425[[#This Row],[sabado, 13 de junio 2026]],#REF!,10,0)</f>
        <v>#REF!</v>
      </c>
      <c r="F12" t="e">
        <f>VLOOKUP(Tabla425[[#This Row],[sabado, 13 de junio 2026]],'CORREOS 01'!A:B,2,0)</f>
        <v>#N/A</v>
      </c>
      <c r="G12" t="e">
        <f>VLOOKUP(Tabla425[[#This Row],[Facilitador Comfandi]],#REF!,2,0)</f>
        <v>#REF!</v>
      </c>
      <c r="H12" t="str">
        <f>IFERROR(VLOOKUP(Tabla425[[#This Row],[UES]],'Directorio Infraestructura'!$A$37:$D$41,4,0),"")</f>
        <v/>
      </c>
      <c r="I12" t="e">
        <f>IF(Tabla425[[#This Row],[Ciudad]]="Cali",'Directorio Infraestructura'!$B$31,'Directorio Infraestructura'!$B$32)</f>
        <v>#N/A</v>
      </c>
    </row>
    <row r="13" spans="1:11">
      <c r="A13" s="319"/>
      <c r="B13" s="315" t="e">
        <f>VLOOKUP(Tabla425[[#This Row],[sabado, 13 de junio 2026]],'Cronog Junio 2026'!B:AT,4,0)</f>
        <v>#N/A</v>
      </c>
      <c r="C13" s="315" t="e">
        <f>VLOOKUP(Tabla425[[#This Row],[sabado, 13 de junio 2026]],'Cronog Junio 2026'!B:AT,6,0)</f>
        <v>#N/A</v>
      </c>
      <c r="D13" s="100" t="e">
        <f>VLOOKUP(Tabla425[[#This Row],[sabado, 13 de junio 2026]],'Cronog Junio 2026'!B:AT,2,0)</f>
        <v>#N/A</v>
      </c>
      <c r="E13" s="314" t="e">
        <f>VLOOKUP(Tabla425[[#This Row],[sabado, 13 de junio 2026]],#REF!,10,0)</f>
        <v>#REF!</v>
      </c>
      <c r="F13" t="e">
        <f>VLOOKUP(Tabla425[[#This Row],[sabado, 13 de junio 2026]],'CORREOS 01'!A:B,2,0)</f>
        <v>#N/A</v>
      </c>
      <c r="G13" t="e">
        <f>VLOOKUP(Tabla425[[#This Row],[Facilitador Comfandi]],#REF!,2,0)</f>
        <v>#REF!</v>
      </c>
      <c r="H13" t="str">
        <f>IFERROR(VLOOKUP(Tabla425[[#This Row],[UES]],'Directorio Infraestructura'!$A$37:$D$41,4,0),"")</f>
        <v/>
      </c>
      <c r="I13" t="e">
        <f>IF(Tabla425[[#This Row],[Ciudad]]="Cali",'Directorio Infraestructura'!$B$31,'Directorio Infraestructura'!$B$32)</f>
        <v>#N/A</v>
      </c>
    </row>
    <row r="16" spans="1:11" ht="15.6">
      <c r="A16" s="310" t="s">
        <v>571</v>
      </c>
      <c r="B16" s="310" t="s">
        <v>561</v>
      </c>
      <c r="C16" s="310" t="s">
        <v>12</v>
      </c>
      <c r="D16" s="99" t="s">
        <v>562</v>
      </c>
      <c r="E16" s="99" t="s">
        <v>563</v>
      </c>
      <c r="F16" s="311" t="s">
        <v>564</v>
      </c>
      <c r="G16" s="311" t="s">
        <v>565</v>
      </c>
      <c r="H16" s="312" t="s">
        <v>566</v>
      </c>
      <c r="I16" s="312" t="s">
        <v>567</v>
      </c>
      <c r="J16" s="312" t="s">
        <v>568</v>
      </c>
      <c r="K16" s="312" t="s">
        <v>569</v>
      </c>
    </row>
    <row r="17" spans="1:11" ht="15">
      <c r="A17" s="544" t="s">
        <v>108</v>
      </c>
      <c r="B17" s="315" t="str">
        <f>VLOOKUP(Tabla4252[[#This Row],[viernes, 12 Junio de 2026]],'Cronog Junio 2026'!B:AT,4,0)</f>
        <v>Cali</v>
      </c>
      <c r="C17" s="315" t="str">
        <f>VLOOKUP(Tabla4252[[#This Row],[viernes, 12 Junio de 2026]],'Cronog Junio 2026'!B:AT,6,0)</f>
        <v>EDUCACION</v>
      </c>
      <c r="D17" s="100" t="str">
        <f>VLOOKUP(Tabla4252[[#This Row],[viernes, 12 Junio de 2026]],'Cronog Junio 2026'!B:AT,2,0)</f>
        <v>Bryan A. Urbano</v>
      </c>
      <c r="E17" s="316" t="s">
        <v>572</v>
      </c>
      <c r="F17" t="str">
        <f>VLOOKUP(Tabla4252[[#This Row],[viernes, 12 Junio de 2026]],'CORREOS 01'!A:B,2,0)</f>
        <v>carloscaballero@comfandi.com.co;dianaarboleda@comfandi.com.co</v>
      </c>
      <c r="G17" s="539" t="s">
        <v>573</v>
      </c>
      <c r="H17" t="str">
        <f>IFERROR(VLOOKUP(Tabla4252[[#This Row],[UES]],'Directorio Infraestructura'!$A$37:$D$41,4,0),"")</f>
        <v>fernandamartinez@comfandi.com.co; marygonzalez@comfandi.com.co;</v>
      </c>
      <c r="I17" t="str">
        <f>IF(Tabla4252[[#This Row],[Ciudad]]="Cali",'Directorio Infraestructura'!$B$31,'Directorio Infraestructura'!$B$32)</f>
        <v>centralmonitorprado@comfandi.com.co</v>
      </c>
      <c r="J17"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17" t="str">
        <f>'Directorio Infraestructura'!$B$49</f>
        <v>analista1sst.comfandi@brillaseo.com; jhaidy.ruiz@brillaseo.com; almacen1.comfandi@brillaseo.com; alejandro.marin@brillaseo.co;andres.ramirez@brillaseo.co;bryan.martinez@brillaseo.co;adrian.restrepo@brillaseo.co</v>
      </c>
    </row>
    <row r="18" spans="1:11" ht="15">
      <c r="A18" s="544" t="s">
        <v>115</v>
      </c>
      <c r="B18" s="315" t="str">
        <f>VLOOKUP(Tabla4252[[#This Row],[viernes, 12 Junio de 2026]],'Cronog Junio 2026'!B:AT,4,0)</f>
        <v>Cali</v>
      </c>
      <c r="C18" s="315" t="str">
        <f>VLOOKUP(Tabla4252[[#This Row],[viernes, 12 Junio de 2026]],'Cronog Junio 2026'!B:AT,6,0)</f>
        <v>EDUCACION</v>
      </c>
      <c r="D18" s="100" t="str">
        <f>VLOOKUP(Tabla4252[[#This Row],[viernes, 12 Junio de 2026]],'Cronog Junio 2026'!B:AT,2,0)</f>
        <v>Bryan A. Urbano</v>
      </c>
      <c r="E18" s="316" t="s">
        <v>572</v>
      </c>
      <c r="F18" t="str">
        <f>VLOOKUP(Tabla4252[[#This Row],[viernes, 12 Junio de 2026]],'CORREOS 01'!A:B,2,0)</f>
        <v>colegiomiraflores@comfandi.com.co;dianaarboleda@comfandi.com.co</v>
      </c>
      <c r="H18" t="str">
        <f>IFERROR(VLOOKUP(Tabla4252[[#This Row],[UES]],'Directorio Infraestructura'!$A$37:$D$41,4,0),"")</f>
        <v>fernandamartinez@comfandi.com.co; marygonzalez@comfandi.com.co;</v>
      </c>
      <c r="I18" t="str">
        <f>IF(Tabla4252[[#This Row],[Ciudad]]="Cali",'Directorio Infraestructura'!$B$31,'Directorio Infraestructura'!$B$32)</f>
        <v>centralmonitorprado@comfandi.com.co</v>
      </c>
    </row>
    <row r="19" spans="1:11">
      <c r="A19" s="544" t="s">
        <v>120</v>
      </c>
      <c r="B19" s="315" t="str">
        <f>VLOOKUP(Tabla4252[[#This Row],[viernes, 12 Junio de 2026]],'Cronog Junio 2026'!B:AT,4,0)</f>
        <v>Cali</v>
      </c>
      <c r="C19" s="315" t="str">
        <f>VLOOKUP(Tabla4252[[#This Row],[viernes, 12 Junio de 2026]],'Cronog Junio 2026'!B:AT,6,0)</f>
        <v>EDUCACION</v>
      </c>
      <c r="D19" s="100" t="str">
        <f>VLOOKUP(Tabla4252[[#This Row],[viernes, 12 Junio de 2026]],'Cronog Junio 2026'!B:AT,2,0)</f>
        <v>Bryan A. Urbano</v>
      </c>
      <c r="E19" s="316" t="s">
        <v>572</v>
      </c>
      <c r="H19" t="str">
        <f>IFERROR(VLOOKUP(Tabla4252[[#This Row],[UES]],'Directorio Infraestructura'!$A$37:$D$41,4,0),"")</f>
        <v>fernandamartinez@comfandi.com.co; marygonzalez@comfandi.com.co;</v>
      </c>
      <c r="I19" t="str">
        <f>IF(Tabla4252[[#This Row],[Ciudad]]="Cali",'Directorio Infraestructura'!$B$31,'Directorio Infraestructura'!$B$32)</f>
        <v>centralmonitorprado@comfandi.com.co</v>
      </c>
    </row>
    <row r="20" spans="1:11">
      <c r="A20" s="544" t="s">
        <v>129</v>
      </c>
      <c r="B20" s="315" t="str">
        <f>VLOOKUP(Tabla4252[[#This Row],[viernes, 12 Junio de 2026]],'Cronog Junio 2026'!B:AT,4,0)</f>
        <v>Cali</v>
      </c>
      <c r="C20" s="315" t="str">
        <f>VLOOKUP(Tabla4252[[#This Row],[viernes, 12 Junio de 2026]],'Cronog Junio 2026'!B:AT,6,0)</f>
        <v>EDUCACION</v>
      </c>
      <c r="D20" s="100" t="str">
        <f>VLOOKUP(Tabla4252[[#This Row],[viernes, 12 Junio de 2026]],'Cronog Junio 2026'!B:AT,2,0)</f>
        <v>Bryan A. Urbano</v>
      </c>
      <c r="E20" s="316" t="s">
        <v>572</v>
      </c>
      <c r="H20" t="str">
        <f>IFERROR(VLOOKUP(Tabla4252[[#This Row],[UES]],'Directorio Infraestructura'!$A$37:$D$41,4,0),"")</f>
        <v>fernandamartinez@comfandi.com.co; marygonzalez@comfandi.com.co;</v>
      </c>
      <c r="I20" t="str">
        <f>IF(Tabla4252[[#This Row],[Ciudad]]="Cali",'Directorio Infraestructura'!$B$31,'Directorio Infraestructura'!$B$32)</f>
        <v>centralmonitorprado@comfandi.com.co</v>
      </c>
    </row>
    <row r="21" spans="1:11">
      <c r="A21" s="544" t="s">
        <v>172</v>
      </c>
      <c r="B21" s="315" t="str">
        <f>VLOOKUP(Tabla4252[[#This Row],[viernes, 12 Junio de 2026]],'Cronog Junio 2026'!B:AT,4,0)</f>
        <v>Cali</v>
      </c>
      <c r="C21" s="315" t="str">
        <f>VLOOKUP(Tabla4252[[#This Row],[viernes, 12 Junio de 2026]],'Cronog Junio 2026'!B:AT,6,0)</f>
        <v>MERCADEO</v>
      </c>
      <c r="D21" s="100" t="str">
        <f>VLOOKUP(Tabla4252[[#This Row],[viernes, 12 Junio de 2026]],'Cronog Junio 2026'!B:AT,2,0)</f>
        <v>Andres Carrillo</v>
      </c>
      <c r="E21" s="316" t="s">
        <v>574</v>
      </c>
      <c r="F21" t="str">
        <f>VLOOKUP(Tabla4252[[#This Row],[viernes, 12 Junio de 2026]],'CORREOS 01'!A:B,2,0)</f>
        <v>drogvalledellili2@comfandi.com.co</v>
      </c>
      <c r="H21" t="str">
        <f>IFERROR(VLOOKUP(Tabla4252[[#This Row],[UES]],'Directorio Infraestructura'!$A$37:$D$41,4,0),"")</f>
        <v>erikamogollon@comfandi.com.co; williamobando@comfandi.com.co</v>
      </c>
      <c r="I21" t="str">
        <f>IF(Tabla4252[[#This Row],[Ciudad]]="Cali",'Directorio Infraestructura'!$B$31,'Directorio Infraestructura'!$B$32)</f>
        <v>centralmonitorprado@comfandi.com.co</v>
      </c>
    </row>
    <row r="22" spans="1:11" ht="15">
      <c r="A22" s="544" t="s">
        <v>227</v>
      </c>
      <c r="B22" s="315" t="str">
        <f>VLOOKUP(Tabla4252[[#This Row],[viernes, 12 Junio de 2026]],'Cronog Junio 2026'!B:AT,4,0)</f>
        <v>Tulua</v>
      </c>
      <c r="C22" s="315" t="str">
        <f>VLOOKUP(Tabla4252[[#This Row],[viernes, 12 Junio de 2026]],'Cronog Junio 2026'!B:AT,6,0)</f>
        <v>MERCADEO</v>
      </c>
      <c r="D22" s="100" t="s">
        <v>575</v>
      </c>
      <c r="E22" s="316" t="s">
        <v>574</v>
      </c>
      <c r="F22" t="str">
        <f>VLOOKUP(Tabla4252[[#This Row],[viernes, 12 Junio de 2026]],'CORREOS 01'!A:B,2,0)</f>
        <v>drogueriacarrera35@comfandi.com.co</v>
      </c>
      <c r="H22" t="str">
        <f>IFERROR(VLOOKUP(Tabla4252[[#This Row],[UES]],'Directorio Infraestructura'!$A$37:$D$41,4,0),"")</f>
        <v>erikamogollon@comfandi.com.co; williamobando@comfandi.com.co</v>
      </c>
      <c r="I22" t="str">
        <f>IF(Tabla4252[[#This Row],[Ciudad]]="Cali",'Directorio Infraestructura'!$B$31,'Directorio Infraestructura'!$B$32)</f>
        <v>jairoescalante@comfandi.com.co</v>
      </c>
    </row>
    <row r="23" spans="1:11" ht="15">
      <c r="A23" s="544" t="s">
        <v>241</v>
      </c>
      <c r="B23" s="315" t="str">
        <f>VLOOKUP(Tabla4252[[#This Row],[viernes, 12 Junio de 2026]],'Cronog Junio 2026'!B:AT,4,0)</f>
        <v>Tulua</v>
      </c>
      <c r="C23" s="315" t="str">
        <f>VLOOKUP(Tabla4252[[#This Row],[viernes, 12 Junio de 2026]],'Cronog Junio 2026'!B:AT,6,0)</f>
        <v>ADMINISTRATIVO</v>
      </c>
      <c r="D23" s="100" t="s">
        <v>575</v>
      </c>
      <c r="E23" s="314" t="s">
        <v>576</v>
      </c>
      <c r="F23" t="str">
        <f>VLOOKUP(Tabla4252[[#This Row],[viernes, 12 Junio de 2026]],'CORREOS 01'!A:B,2,0)</f>
        <v>cenobialoaiza@comfandi.com.co</v>
      </c>
      <c r="H23" t="str">
        <f>IFERROR(VLOOKUP(Tabla4252[[#This Row],[UES]],'Directorio Infraestructura'!$A$37:$D$41,4,0),"")</f>
        <v/>
      </c>
      <c r="I23" t="str">
        <f>IF(Tabla4252[[#This Row],[Ciudad]]="Cali",'Directorio Infraestructura'!$B$31,'Directorio Infraestructura'!$B$32)</f>
        <v>jairoescalante@comfandi.com.co</v>
      </c>
    </row>
    <row r="24" spans="1:11" ht="15">
      <c r="A24" s="319"/>
      <c r="B24" s="315"/>
      <c r="C24" s="315"/>
      <c r="D24" s="100"/>
      <c r="E24" s="314"/>
      <c r="H24" t="str">
        <f>IFERROR(VLOOKUP(Tabla4252[[#This Row],[UES]],'Directorio Infraestructura'!$A$37:$D$41,4,0),"")</f>
        <v/>
      </c>
      <c r="I24" t="str">
        <f>IF(Tabla4252[[#This Row],[Ciudad]]="Cali",'Directorio Infraestructura'!$B$31,'Directorio Infraestructura'!$B$32)</f>
        <v>jairoescalante@comfandi.com.co</v>
      </c>
    </row>
    <row r="25" spans="1:11" ht="15">
      <c r="A25" s="319"/>
      <c r="B25" s="315"/>
      <c r="C25" s="315"/>
      <c r="D25" s="100"/>
      <c r="E25" s="314"/>
      <c r="H25" t="str">
        <f>IFERROR(VLOOKUP(Tabla4252[[#This Row],[UES]],'Directorio Infraestructura'!$A$37:$D$41,4,0),"")</f>
        <v/>
      </c>
      <c r="I25" t="str">
        <f>IF(Tabla4252[[#This Row],[Ciudad]]="Cali",'Directorio Infraestructura'!$B$31,'Directorio Infraestructura'!$B$32)</f>
        <v>jairoescalante@comfandi.com.co</v>
      </c>
    </row>
    <row r="26" spans="1:11">
      <c r="A26" s="319"/>
      <c r="B26" s="315"/>
      <c r="C26" s="315"/>
      <c r="D26" s="100"/>
      <c r="E26" s="314"/>
      <c r="H26" t="str">
        <f>IFERROR(VLOOKUP(Tabla4252[[#This Row],[UES]],'Directorio Infraestructura'!$A$37:$D$41,4,0),"")</f>
        <v/>
      </c>
      <c r="I26" t="str">
        <f>IF(Tabla4252[[#This Row],[Ciudad]]="Cali",'Directorio Infraestructura'!$B$31,'Directorio Infraestructura'!$B$32)</f>
        <v>jairoescalante@comfandi.com.co</v>
      </c>
    </row>
    <row r="29" spans="1:11" ht="15.6">
      <c r="A29" s="310" t="s">
        <v>577</v>
      </c>
      <c r="B29" s="310" t="s">
        <v>561</v>
      </c>
      <c r="C29" s="310" t="s">
        <v>12</v>
      </c>
      <c r="D29" s="99" t="s">
        <v>562</v>
      </c>
      <c r="E29" s="99" t="s">
        <v>563</v>
      </c>
      <c r="F29" s="311" t="s">
        <v>564</v>
      </c>
      <c r="G29" s="311" t="s">
        <v>565</v>
      </c>
      <c r="H29" s="312" t="s">
        <v>566</v>
      </c>
      <c r="I29" s="312" t="s">
        <v>567</v>
      </c>
      <c r="J29" s="312" t="s">
        <v>568</v>
      </c>
      <c r="K29" s="312" t="s">
        <v>569</v>
      </c>
    </row>
    <row r="30" spans="1:11" ht="15">
      <c r="A30" s="544" t="s">
        <v>169</v>
      </c>
      <c r="B30" s="315" t="str">
        <f>VLOOKUP(Tabla4254[[#This Row],[jueves, 11 junio 2026]],'Cronog Junio 2026'!B:AT,4,0)</f>
        <v>Cali</v>
      </c>
      <c r="C30" s="315" t="str">
        <f>VLOOKUP(Tabla4254[[#This Row],[jueves, 11 junio 2026]],'Cronog Junio 2026'!B:AT,6,0)</f>
        <v>MERCADEO</v>
      </c>
      <c r="D30" s="100" t="str">
        <f>VLOOKUP(Tabla4254[[#This Row],[jueves, 11 junio 2026]],'Cronog Junio 2026'!B:AT,2,0)</f>
        <v>Andres Carrillo</v>
      </c>
      <c r="E30" s="316" t="s">
        <v>574</v>
      </c>
      <c r="F30" t="str">
        <f>VLOOKUP(Tabla4254[[#This Row],[jueves, 11 junio 2026]],'CORREOS 01'!A:B,2,0)</f>
        <v>drogueriavallelili@comfandi.com.co</v>
      </c>
      <c r="G30" s="539" t="s">
        <v>573</v>
      </c>
      <c r="H30" t="str">
        <f>IFERROR(VLOOKUP(Tabla4254[[#This Row],[UES]],'Directorio Infraestructura'!$A$37:$D$41,4,0),"")</f>
        <v>erikamogollon@comfandi.com.co; williamobando@comfandi.com.co</v>
      </c>
      <c r="I30" t="str">
        <f>IF(Tabla4254[[#This Row],[Ciudad]]="Cali",'Directorio Infraestructura'!$B$31,'Directorio Infraestructura'!$B$32)</f>
        <v>centralmonitorprado@comfandi.com.co</v>
      </c>
      <c r="J30" t="str">
        <f>'Directorio Infraestructura'!$B$48</f>
        <v>francygaleano@comfandi.com.co; viviansramirez@comfandi.com.co; jansengiraldo@comfandi.com.co; brayanardila@comfandi.com.co; leonardosarria@comfandi.com.co; aprendizmantenimiento1@comfandi.com.co;sebastianarias@comfandi.com.co;hectorcaicedo@comfandi.com.co; mariamartinez@comfandi.com.co; yubizanvelasco@comfandi.com.co</v>
      </c>
      <c r="K30" t="str">
        <f>'Directorio Infraestructura'!$B$49</f>
        <v>analista1sst.comfandi@brillaseo.com; jhaidy.ruiz@brillaseo.com; almacen1.comfandi@brillaseo.com; alejandro.marin@brillaseo.co;andres.ramirez@brillaseo.co;bryan.martinez@brillaseo.co;adrian.restrepo@brillaseo.co</v>
      </c>
    </row>
    <row r="31" spans="1:11" ht="15">
      <c r="A31" s="544" t="s">
        <v>177</v>
      </c>
      <c r="B31" s="315" t="str">
        <f>VLOOKUP(Tabla4254[[#This Row],[jueves, 11 junio 2026]],'Cronog Junio 2026'!B:AT,4,0)</f>
        <v>Cali</v>
      </c>
      <c r="C31" s="315" t="str">
        <f>VLOOKUP(Tabla4254[[#This Row],[jueves, 11 junio 2026]],'Cronog Junio 2026'!B:AT,6,0)</f>
        <v>SALUD</v>
      </c>
      <c r="D31" s="100" t="str">
        <f>VLOOKUP(Tabla4254[[#This Row],[jueves, 11 junio 2026]],'Cronog Junio 2026'!B:AT,2,0)</f>
        <v>Andres Carrillo</v>
      </c>
      <c r="E31" s="316" t="s">
        <v>578</v>
      </c>
      <c r="F31" t="str">
        <f>VLOOKUP(Tabla4254[[#This Row],[jueves, 11 junio 2026]],'CORREOS 01'!A:B,2,0)</f>
        <v>citassia@comfandi.com.co;mjosefacastro@comfandi.com.co</v>
      </c>
      <c r="H31" t="str">
        <f>IFERROR(VLOOKUP(Tabla4254[[#This Row],[UES]],'Directorio Infraestructura'!$A$37:$D$41,4,0),"")</f>
        <v>gloriayepes@comfandi.com.co</v>
      </c>
      <c r="I31" t="str">
        <f>IF(Tabla4254[[#This Row],[Ciudad]]="Cali",'Directorio Infraestructura'!$B$31,'Directorio Infraestructura'!$B$32)</f>
        <v>centralmonitorprado@comfandi.com.co</v>
      </c>
    </row>
    <row r="32" spans="1:11" ht="15">
      <c r="A32" s="544" t="s">
        <v>234</v>
      </c>
      <c r="B32" s="315" t="str">
        <f>VLOOKUP(Tabla4254[[#This Row],[jueves, 11 junio 2026]],'Cronog Junio 2026'!B:AT,4,0)</f>
        <v>Buga</v>
      </c>
      <c r="C32" s="315" t="str">
        <f>VLOOKUP(Tabla4254[[#This Row],[jueves, 11 junio 2026]],'Cronog Junio 2026'!B:AT,6,0)</f>
        <v>EDUCACION</v>
      </c>
      <c r="D32" s="100" t="str">
        <f>VLOOKUP(Tabla4254[[#This Row],[jueves, 11 junio 2026]],'Cronog Junio 2026'!B:AT,2,0)</f>
        <v>Sebastian andres padilla</v>
      </c>
      <c r="E32" s="316" t="s">
        <v>570</v>
      </c>
      <c r="F32" t="str">
        <f>VLOOKUP(Tabla4254[[#This Row],[jueves, 11 junio 2026]],'CORREOS 01'!A:B,2,0)</f>
        <v>directorcolegiobuga@comfandi.com.co; dianaarboleda@comfandi.com.co</v>
      </c>
      <c r="G32" t="e">
        <f>VLOOKUP(Tabla4254[[#This Row],[Facilitador Comfandi]],#REF!,2,0)</f>
        <v>#REF!</v>
      </c>
      <c r="H32" t="str">
        <f>IFERROR(VLOOKUP(Tabla4254[[#This Row],[UES]],'Directorio Infraestructura'!$A$37:$D$41,4,0),"")</f>
        <v>fernandamartinez@comfandi.com.co; marygonzalez@comfandi.com.co;</v>
      </c>
      <c r="I32" t="str">
        <f>IF(Tabla4254[[#This Row],[Ciudad]]="Cali",'Directorio Infraestructura'!$B$31,'Directorio Infraestructura'!$B$32)</f>
        <v>jairoescalante@comfandi.com.co</v>
      </c>
    </row>
    <row r="33" spans="1:9">
      <c r="A33" s="544" t="s">
        <v>266</v>
      </c>
      <c r="B33" s="315" t="str">
        <f>VLOOKUP(Tabla4254[[#This Row],[jueves, 11 junio 2026]],'Cronog Junio 2026'!B:AT,4,0)</f>
        <v>Florida</v>
      </c>
      <c r="C33" s="315" t="str">
        <f>VLOOKUP(Tabla4254[[#This Row],[jueves, 11 junio 2026]],'Cronog Junio 2026'!B:AT,6,0)</f>
        <v>EDUCACIÓN</v>
      </c>
      <c r="D33" s="100" t="str">
        <f>VLOOKUP(Tabla4254[[#This Row],[jueves, 11 junio 2026]],'Cronog Junio 2026'!B:AT,2,0)</f>
        <v>Hans Blake Salas Millan</v>
      </c>
      <c r="E33" s="316" t="s">
        <v>570</v>
      </c>
      <c r="F33" t="str">
        <f>VLOOKUP(Tabla4254[[#This Row],[jueves, 11 junio 2026]],'CORREOS 01'!A:B,2,0)</f>
        <v>libardodiaz@comfandi.com.co;dianaarboleda@comfandi.com.co</v>
      </c>
      <c r="G33" t="e">
        <f>VLOOKUP(Tabla4254[[#This Row],[Facilitador Comfandi]],#REF!,2,0)</f>
        <v>#REF!</v>
      </c>
      <c r="H33" t="str">
        <f>IFERROR(VLOOKUP(Tabla4254[[#This Row],[UES]],'Directorio Infraestructura'!$A$37:$D$41,4,0),"")</f>
        <v/>
      </c>
      <c r="I33" t="str">
        <f>IF(Tabla4254[[#This Row],[Ciudad]]="Cali",'Directorio Infraestructura'!$B$31,'Directorio Infraestructura'!$B$32)</f>
        <v>jairoescalante@comfandi.com.co</v>
      </c>
    </row>
    <row r="34" spans="1:9">
      <c r="A34" s="318"/>
      <c r="B34" s="315" t="e">
        <f>VLOOKUP(Tabla4254[[#This Row],[jueves, 11 junio 2026]],'Cronog Junio 2026'!B:AT,4,0)</f>
        <v>#N/A</v>
      </c>
      <c r="C34" s="315" t="e">
        <f>VLOOKUP(Tabla4254[[#This Row],[jueves, 11 junio 2026]],'Cronog Junio 2026'!B:AT,6,0)</f>
        <v>#N/A</v>
      </c>
      <c r="D34" s="100" t="e">
        <f>VLOOKUP(Tabla4254[[#This Row],[jueves, 11 junio 2026]],'Cronog Junio 2026'!B:AT,2,0)</f>
        <v>#N/A</v>
      </c>
      <c r="E34" s="316" t="e">
        <f>VLOOKUP(Tabla4254[[#This Row],[jueves, 11 junio 2026]],#REF!,10,0)</f>
        <v>#REF!</v>
      </c>
      <c r="F34" t="e">
        <f>VLOOKUP(Tabla4254[[#This Row],[jueves, 11 junio 2026]],'CORREOS 01'!A:B,2,0)</f>
        <v>#N/A</v>
      </c>
      <c r="G34" t="e">
        <f>VLOOKUP(Tabla4254[[#This Row],[Facilitador Comfandi]],#REF!,2,0)</f>
        <v>#REF!</v>
      </c>
      <c r="H34" t="str">
        <f>IFERROR(VLOOKUP(Tabla4254[[#This Row],[UES]],'Directorio Infraestructura'!$A$37:$D$41,4,0),"")</f>
        <v/>
      </c>
      <c r="I34" t="e">
        <f>IF(Tabla4254[[#This Row],[Ciudad]]="Cali",'Directorio Infraestructura'!$B$31,'Directorio Infraestructura'!$B$32)</f>
        <v>#N/A</v>
      </c>
    </row>
    <row r="35" spans="1:9">
      <c r="A35" s="318"/>
      <c r="B35" s="315" t="e">
        <f>VLOOKUP(Tabla4254[[#This Row],[jueves, 11 junio 2026]],'Cronog Junio 2026'!B:AT,4,0)</f>
        <v>#N/A</v>
      </c>
      <c r="C35" s="315" t="e">
        <f>VLOOKUP(Tabla4254[[#This Row],[jueves, 11 junio 2026]],'Cronog Junio 2026'!B:AT,6,0)</f>
        <v>#N/A</v>
      </c>
      <c r="D35" s="100" t="e">
        <f>VLOOKUP(Tabla4254[[#This Row],[jueves, 11 junio 2026]],'Cronog Junio 2026'!B:AT,2,0)</f>
        <v>#N/A</v>
      </c>
      <c r="E35" s="316" t="e">
        <f>VLOOKUP(Tabla4254[[#This Row],[jueves, 11 junio 2026]],#REF!,10,0)</f>
        <v>#REF!</v>
      </c>
      <c r="F35" t="e">
        <f>VLOOKUP(Tabla4254[[#This Row],[jueves, 11 junio 2026]],'CORREOS 01'!A:B,2,0)</f>
        <v>#N/A</v>
      </c>
      <c r="G35" t="e">
        <f>VLOOKUP(Tabla4254[[#This Row],[Facilitador Comfandi]],#REF!,2,0)</f>
        <v>#REF!</v>
      </c>
      <c r="H35" t="str">
        <f>IFERROR(VLOOKUP(Tabla4254[[#This Row],[UES]],'Directorio Infraestructura'!$A$37:$D$41,4,0),"")</f>
        <v/>
      </c>
      <c r="I35" t="e">
        <f>IF(Tabla4254[[#This Row],[Ciudad]]="Cali",'Directorio Infraestructura'!$B$31,'Directorio Infraestructura'!$B$32)</f>
        <v>#N/A</v>
      </c>
    </row>
    <row r="36" spans="1:9">
      <c r="A36" s="319"/>
      <c r="B36" s="315" t="e">
        <f>VLOOKUP(Tabla4254[[#This Row],[jueves, 11 junio 2026]],'Cronog Junio 2026'!B:AT,4,0)</f>
        <v>#N/A</v>
      </c>
      <c r="C36" s="315" t="e">
        <f>VLOOKUP(Tabla4254[[#This Row],[jueves, 11 junio 2026]],'Cronog Junio 2026'!B:AT,6,0)</f>
        <v>#N/A</v>
      </c>
      <c r="D36" s="100" t="e">
        <f>VLOOKUP(Tabla4254[[#This Row],[jueves, 11 junio 2026]],'Cronog Junio 2026'!B:AT,2,0)</f>
        <v>#N/A</v>
      </c>
      <c r="E36" s="314" t="e">
        <f>VLOOKUP(Tabla4254[[#This Row],[jueves, 11 junio 2026]],#REF!,10,0)</f>
        <v>#REF!</v>
      </c>
      <c r="F36" t="e">
        <f>VLOOKUP(Tabla4254[[#This Row],[jueves, 11 junio 2026]],'CORREOS 01'!A:B,2,0)</f>
        <v>#N/A</v>
      </c>
      <c r="G36" t="e">
        <f>VLOOKUP(Tabla4254[[#This Row],[Facilitador Comfandi]],#REF!,2,0)</f>
        <v>#REF!</v>
      </c>
      <c r="H36" t="str">
        <f>IFERROR(VLOOKUP(Tabla4254[[#This Row],[UES]],'Directorio Infraestructura'!$A$37:$D$41,4,0),"")</f>
        <v/>
      </c>
      <c r="I36" t="e">
        <f>IF(Tabla4254[[#This Row],[Ciudad]]="Cali",'Directorio Infraestructura'!$B$31,'Directorio Infraestructura'!$B$32)</f>
        <v>#N/A</v>
      </c>
    </row>
    <row r="37" spans="1:9">
      <c r="A37" s="319"/>
      <c r="B37" s="315" t="e">
        <f>VLOOKUP(Tabla4254[[#This Row],[jueves, 11 junio 2026]],'Cronog Junio 2026'!B:AT,4,0)</f>
        <v>#N/A</v>
      </c>
      <c r="C37" s="315" t="e">
        <f>VLOOKUP(Tabla4254[[#This Row],[jueves, 11 junio 2026]],'Cronog Junio 2026'!B:AT,6,0)</f>
        <v>#N/A</v>
      </c>
      <c r="D37" s="100" t="e">
        <f>VLOOKUP(Tabla4254[[#This Row],[jueves, 11 junio 2026]],'Cronog Junio 2026'!B:AT,2,0)</f>
        <v>#N/A</v>
      </c>
      <c r="E37" s="314" t="e">
        <f>VLOOKUP(Tabla4254[[#This Row],[jueves, 11 junio 2026]],#REF!,10,0)</f>
        <v>#REF!</v>
      </c>
      <c r="F37" t="e">
        <f>VLOOKUP(Tabla4254[[#This Row],[jueves, 11 junio 2026]],'CORREOS 01'!A:B,2,0)</f>
        <v>#N/A</v>
      </c>
      <c r="G37" t="e">
        <f>VLOOKUP(Tabla4254[[#This Row],[Facilitador Comfandi]],#REF!,2,0)</f>
        <v>#REF!</v>
      </c>
      <c r="H37" t="str">
        <f>IFERROR(VLOOKUP(Tabla4254[[#This Row],[UES]],'Directorio Infraestructura'!$A$37:$D$41,4,0),"")</f>
        <v/>
      </c>
      <c r="I37" t="e">
        <f>IF(Tabla4254[[#This Row],[Ciudad]]="Cali",'Directorio Infraestructura'!$B$31,'Directorio Infraestructura'!$B$32)</f>
        <v>#N/A</v>
      </c>
    </row>
    <row r="38" spans="1:9">
      <c r="A38" s="319"/>
      <c r="B38" s="315" t="e">
        <f>VLOOKUP(Tabla4254[[#This Row],[jueves, 11 junio 2026]],'Cronog Junio 2026'!B:AT,4,0)</f>
        <v>#N/A</v>
      </c>
      <c r="C38" s="315" t="e">
        <f>VLOOKUP(Tabla4254[[#This Row],[jueves, 11 junio 2026]],'Cronog Junio 2026'!B:AT,6,0)</f>
        <v>#N/A</v>
      </c>
      <c r="D38" s="100" t="e">
        <f>VLOOKUP(Tabla4254[[#This Row],[jueves, 11 junio 2026]],'Cronog Junio 2026'!B:AT,2,0)</f>
        <v>#N/A</v>
      </c>
      <c r="E38" s="314" t="e">
        <f>VLOOKUP(Tabla4254[[#This Row],[jueves, 11 junio 2026]],#REF!,10,0)</f>
        <v>#REF!</v>
      </c>
      <c r="F38" t="e">
        <f>VLOOKUP(Tabla4254[[#This Row],[jueves, 11 junio 2026]],'CORREOS 01'!A:B,2,0)</f>
        <v>#N/A</v>
      </c>
      <c r="G38" t="e">
        <f>VLOOKUP(Tabla4254[[#This Row],[Facilitador Comfandi]],#REF!,2,0)</f>
        <v>#REF!</v>
      </c>
      <c r="H38" t="str">
        <f>IFERROR(VLOOKUP(Tabla4254[[#This Row],[UES]],'Directorio Infraestructura'!$A$37:$D$41,4,0),"")</f>
        <v/>
      </c>
      <c r="I38" t="e">
        <f>IF(Tabla4254[[#This Row],[Ciudad]]="Cali",'Directorio Infraestructura'!$B$31,'Directorio Infraestructura'!$B$32)</f>
        <v>#N/A</v>
      </c>
    </row>
    <row r="39" spans="1:9">
      <c r="A39" s="319"/>
      <c r="B39" s="315" t="e">
        <f>VLOOKUP(Tabla4254[[#This Row],[jueves, 11 junio 2026]],'Cronog Junio 2026'!B:AT,4,0)</f>
        <v>#N/A</v>
      </c>
      <c r="C39" s="315" t="e">
        <f>VLOOKUP(Tabla4254[[#This Row],[jueves, 11 junio 2026]],'Cronog Junio 2026'!B:AT,6,0)</f>
        <v>#N/A</v>
      </c>
      <c r="D39" s="100" t="e">
        <f>VLOOKUP(Tabla4254[[#This Row],[jueves, 11 junio 2026]],'Cronog Junio 2026'!B:AT,2,0)</f>
        <v>#N/A</v>
      </c>
      <c r="E39" s="314" t="e">
        <f>VLOOKUP(Tabla4254[[#This Row],[jueves, 11 junio 2026]],#REF!,10,0)</f>
        <v>#REF!</v>
      </c>
      <c r="F39" t="e">
        <f>VLOOKUP(Tabla4254[[#This Row],[jueves, 11 junio 2026]],'CORREOS 01'!A:B,2,0)</f>
        <v>#N/A</v>
      </c>
      <c r="G39" t="e">
        <f>VLOOKUP(Tabla4254[[#This Row],[Facilitador Comfandi]],#REF!,2,0)</f>
        <v>#REF!</v>
      </c>
      <c r="H39" t="str">
        <f>IFERROR(VLOOKUP(Tabla4254[[#This Row],[UES]],'Directorio Infraestructura'!$A$37:$D$41,4,0),"")</f>
        <v/>
      </c>
      <c r="I39" t="e">
        <f>IF(Tabla4254[[#This Row],[Ciudad]]="Cali",'Directorio Infraestructura'!$B$31,'Directorio Infraestructura'!$B$32)</f>
        <v>#N/A</v>
      </c>
    </row>
  </sheetData>
  <mergeCells count="3">
    <mergeCell ref="A1:E1"/>
    <mergeCell ref="F1:G1"/>
    <mergeCell ref="H1:K1"/>
  </mergeCells>
  <phoneticPr fontId="126" type="noConversion"/>
  <conditionalFormatting sqref="A30:A33">
    <cfRule type="duplicateValues" dxfId="89" priority="7"/>
  </conditionalFormatting>
  <conditionalFormatting sqref="A17:A23">
    <cfRule type="duplicateValues" dxfId="88" priority="6"/>
  </conditionalFormatting>
  <conditionalFormatting sqref="A18">
    <cfRule type="duplicateValues" dxfId="87" priority="2"/>
    <cfRule type="duplicateValues" dxfId="86" priority="3"/>
    <cfRule type="duplicateValues" dxfId="85" priority="4"/>
    <cfRule type="duplicateValues" dxfId="84" priority="5"/>
  </conditionalFormatting>
  <conditionalFormatting sqref="A4">
    <cfRule type="duplicateValues" dxfId="83" priority="1"/>
  </conditionalFormatting>
  <hyperlinks>
    <hyperlink ref="G17" r:id="rId1" display="'cesarfranco@comfandi.com.co'" xr:uid="{9A871349-F3A5-4F37-92E7-D13B52EE9BF6}"/>
    <hyperlink ref="G30" r:id="rId2" display="'cesarfranco@comfandi.com.co'" xr:uid="{1AB40493-CB74-4388-9ED2-400AE6A9F6CD}"/>
  </hyperlinks>
  <pageMargins left="0.7" right="0.7" top="0.75" bottom="0.75" header="0.3" footer="0.3"/>
  <ignoredErrors>
    <ignoredError sqref="H4" calculatedColumn="1"/>
  </ignoredErrors>
  <legacyDrawing r:id="rId3"/>
  <tableParts count="3">
    <tablePart r:id="rId4"/>
    <tablePart r:id="rId5"/>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602F-6EBA-4E04-99C8-526D1019A792}">
  <sheetPr codeName="Hoja7"/>
  <dimension ref="A1:B88"/>
  <sheetViews>
    <sheetView topLeftCell="A35" zoomScaleNormal="100" workbookViewId="0">
      <selection activeCell="A22" sqref="A22"/>
    </sheetView>
  </sheetViews>
  <sheetFormatPr defaultColWidth="11.42578125" defaultRowHeight="14.45"/>
  <cols>
    <col min="1" max="1" width="68.7109375" bestFit="1" customWidth="1"/>
    <col min="2" max="2" width="128.5703125" customWidth="1"/>
  </cols>
  <sheetData>
    <row r="1" spans="1:2" ht="15.6">
      <c r="A1" s="55" t="s">
        <v>579</v>
      </c>
    </row>
    <row r="2" spans="1:2">
      <c r="A2" s="203" t="s">
        <v>57</v>
      </c>
      <c r="B2" t="str">
        <f>VLOOKUP(A2,'Directorio comf+ zon'!B:J,9,0)</f>
        <v>dianaramos@comfandi.com.co</v>
      </c>
    </row>
    <row r="3" spans="1:2">
      <c r="A3" s="203" t="s">
        <v>67</v>
      </c>
      <c r="B3" t="str">
        <f>VLOOKUP(A3,'Directorio comf+ zon'!B:J,9,0)</f>
        <v>maritzamedina@comfandi.com.co;dianaarboleda@comfandi.com.co</v>
      </c>
    </row>
    <row r="4" spans="1:2">
      <c r="A4" s="203" t="s">
        <v>72</v>
      </c>
      <c r="B4" t="str">
        <f>VLOOKUP(A4,'Directorio comf+ zon'!B:J,9,0)</f>
        <v>mjosefacastro@comfandi.com.co</v>
      </c>
    </row>
    <row r="5" spans="1:2">
      <c r="A5" s="203" t="s">
        <v>75</v>
      </c>
      <c r="B5" t="str">
        <f>VLOOKUP(A5,'Directorio comf+ zon'!B:J,9,0)</f>
        <v>luzmarinacastro@comfandi.com.co; luissierra@comfandi.com.co</v>
      </c>
    </row>
    <row r="6" spans="1:2">
      <c r="A6" s="203" t="s">
        <v>80</v>
      </c>
      <c r="B6" t="str">
        <f>VLOOKUP(A6,'Directorio comf+ zon'!B:J,9,0)</f>
        <v>colegioyumbo@comfandi.com.co; julianbetancourth@comfandi.com.co;dianaarboleda@comfandi.com.co</v>
      </c>
    </row>
    <row r="7" spans="1:2">
      <c r="A7" s="203" t="s">
        <v>83</v>
      </c>
      <c r="B7" t="str">
        <f>VLOOKUP(A7,'Directorio comf+ zon'!B:J,9,0)</f>
        <v>diripstorres@comfandi.com.co</v>
      </c>
    </row>
    <row r="8" spans="1:2">
      <c r="A8" s="203" t="s">
        <v>85</v>
      </c>
      <c r="B8" t="str">
        <f>VLOOKUP(A8,'Directorio comf+ zon'!B:J,9,0)</f>
        <v>droguerialaflora2@comfandi.com.co</v>
      </c>
    </row>
    <row r="9" spans="1:2">
      <c r="A9" s="203" t="s">
        <v>90</v>
      </c>
      <c r="B9" t="str">
        <f>VLOOKUP(A9,'Directorio comf+ zon'!B:J,9,0)</f>
        <v>drogueriaavsexta@comfandi.com.co</v>
      </c>
    </row>
    <row r="10" spans="1:2">
      <c r="A10" s="203" t="s">
        <v>92</v>
      </c>
      <c r="B10" t="str">
        <f>VLOOKUP(A10,'Directorio comf+ zon'!B:J,9,0)</f>
        <v>drogcentenario@comfandi.com.co</v>
      </c>
    </row>
    <row r="11" spans="1:2">
      <c r="A11" s="203" t="s">
        <v>94</v>
      </c>
      <c r="B11" t="str">
        <f>VLOOKUP(A11,'Directorio comf+ zon'!B:J,9,0)</f>
        <v>drogueriachipichape@comfandi.com.co</v>
      </c>
    </row>
    <row r="12" spans="1:2">
      <c r="A12" s="203" t="s">
        <v>96</v>
      </c>
      <c r="B12" t="str">
        <f>VLOOKUP(A12,'Directorio comf+ zon'!B:J,9,0)</f>
        <v>drogueriaclinicaoccidente@comfandi.com.co</v>
      </c>
    </row>
    <row r="13" spans="1:2">
      <c r="A13" s="47" t="s">
        <v>98</v>
      </c>
      <c r="B13" t="str">
        <f>VLOOKUP(A13,'Directorio comf+ zon'!B:J,9,0)</f>
        <v>droguerialosremedios@comfandi.com.co</v>
      </c>
    </row>
    <row r="14" spans="1:2">
      <c r="A14" s="47" t="s">
        <v>100</v>
      </c>
      <c r="B14" t="str">
        <f>VLOOKUP(A14,'Directorio comf+ zon'!B:J,9,0)</f>
        <v>drogueriaelprado@comfandi.com.co</v>
      </c>
    </row>
    <row r="15" spans="1:2">
      <c r="A15" s="47" t="s">
        <v>102</v>
      </c>
      <c r="B15" t="str">
        <f>VLOOKUP(A15,'Directorio comf+ zon'!B:J,9,0)</f>
        <v>droguerialaflora@comfandi.com.co</v>
      </c>
    </row>
    <row r="16" spans="1:2">
      <c r="A16" s="47" t="s">
        <v>104</v>
      </c>
      <c r="B16" t="str">
        <f>VLOOKUP(A16,'Directorio comf+ zon'!B:J,9,0)</f>
        <v>diripsyumbo@comfandi.com.co</v>
      </c>
    </row>
    <row r="17" spans="1:2">
      <c r="A17" s="47" t="s">
        <v>108</v>
      </c>
      <c r="B17" t="str">
        <f>VLOOKUP(A17,'Directorio comf+ zon'!B:J,9,0)</f>
        <v>carloscaballero@comfandi.com.co;dianaarboleda@comfandi.com.co</v>
      </c>
    </row>
    <row r="18" spans="1:2">
      <c r="A18" s="47" t="s">
        <v>111</v>
      </c>
      <c r="B18" t="str">
        <f>VLOOKUP(A18,'Directorio comf+ zon'!B:J,9,0)</f>
        <v>colegiodelicias@comfandi.com.co; dianaarboleda@comfandi.com.co</v>
      </c>
    </row>
    <row r="19" spans="1:2">
      <c r="A19" s="47" t="s">
        <v>113</v>
      </c>
      <c r="B19" t="str">
        <f>VLOOKUP(A19,'Directorio comf+ zon'!B:J,9,0)</f>
        <v>diripsalameda2@comfandi.com.co;secrealameda2@comfandi.com.co</v>
      </c>
    </row>
    <row r="20" spans="1:2">
      <c r="A20" s="47" t="s">
        <v>115</v>
      </c>
      <c r="B20" t="str">
        <f>VLOOKUP(A20,'Directorio comf+ zon'!B:J,9,0)</f>
        <v>colegiomiraflores@comfandi.com.co;dianaarboleda@comfandi.com.co</v>
      </c>
    </row>
    <row r="21" spans="1:2">
      <c r="A21" s="47" t="s">
        <v>118</v>
      </c>
    </row>
    <row r="22" spans="1:2">
      <c r="A22" s="47" t="s">
        <v>120</v>
      </c>
    </row>
    <row r="23" spans="1:2">
      <c r="A23" s="47" t="s">
        <v>122</v>
      </c>
      <c r="B23" t="str">
        <f>VLOOKUP(A23,'Directorio comf+ zon'!B:J,9,0)</f>
        <v>colegiocalipso@comfandi.com.co; marycuellar@comfandi.com.co; secrecolegiocalipso@comfandi.com.co;dianaarboleda@comfandi.com.co</v>
      </c>
    </row>
    <row r="24" spans="1:2">
      <c r="A24" s="47" t="s">
        <v>125</v>
      </c>
      <c r="B24" t="str">
        <f>VLOOKUP(A24,'Directorio comf+ zon'!B:J,9,0)</f>
        <v>carloscaballero@comfandi.com.co; oscarcastillo@comfandi.com.co;dianaarboleda@comfandi.com.co</v>
      </c>
    </row>
    <row r="25" spans="1:2">
      <c r="A25" s="47" t="s">
        <v>127</v>
      </c>
      <c r="B25" t="str">
        <f>VLOOKUP(A25,'Directorio comf+ zon'!B:J,9,0)</f>
        <v>diripssannicolas@comfandi.com.co; auxtecnovigilancia@comfandi.com.co; luzkarimeramos@comfandi.com.co; astridsierra@comfandi.com.co; geillilusierra@comfandi.com.co; tatianaalzate@comfandi.com.co; Lilianatovar@comfandi.com.co</v>
      </c>
    </row>
    <row r="26" spans="1:2">
      <c r="A26" s="47" t="s">
        <v>129</v>
      </c>
    </row>
    <row r="27" spans="1:2">
      <c r="A27" s="47" t="s">
        <v>132</v>
      </c>
    </row>
    <row r="28" spans="1:2">
      <c r="A28" s="47" t="s">
        <v>134</v>
      </c>
      <c r="B28" t="str">
        <f>VLOOKUP(A28,'Directorio comf+ zon'!B:J,9,0)</f>
        <v>recreacionpance@comfandi.com.co</v>
      </c>
    </row>
    <row r="29" spans="1:2">
      <c r="A29" s="47" t="s">
        <v>138</v>
      </c>
      <c r="B29" t="str">
        <f>VLOOKUP(A29,'Directorio comf+ zon'!B:J,9,0)</f>
        <v>drogclinicatequendama@comfandi.com.co</v>
      </c>
    </row>
    <row r="30" spans="1:2">
      <c r="A30" s="47" t="s">
        <v>141</v>
      </c>
      <c r="B30" t="str">
        <f>VLOOKUP(A30,'Directorio comf+ zon'!B:J,9,0)</f>
        <v>lilianatovar@comfandi.com.co</v>
      </c>
    </row>
    <row r="31" spans="1:2">
      <c r="A31" s="47" t="s">
        <v>143</v>
      </c>
      <c r="B31" t="str">
        <f>VLOOKUP(A31,'Directorio comf+ zon'!B:J,9,0)</f>
        <v>drogcanasgordas@comfandi.com.co</v>
      </c>
    </row>
    <row r="32" spans="1:2">
      <c r="A32" s="47" t="s">
        <v>145</v>
      </c>
      <c r="B32" t="str">
        <f>VLOOKUP(A32,'Directorio comf+ zon'!B:J,9,0)</f>
        <v>drogcanaveralejo@comfandi.com.co</v>
      </c>
    </row>
    <row r="33" spans="1:2">
      <c r="A33" s="47" t="s">
        <v>148</v>
      </c>
      <c r="B33" t="str">
        <f>VLOOKUP(A33,'Directorio comf+ zon'!B:J,9,0)</f>
        <v>drogueriacerrosplaza@comfandi.com.co</v>
      </c>
    </row>
    <row r="34" spans="1:2">
      <c r="A34" s="47" t="s">
        <v>150</v>
      </c>
      <c r="B34" t="str">
        <f>VLOOKUP(A34,'Directorio comf+ zon'!B:J,9,0)</f>
        <v>drogueriaclinicavida@comfandi.com.co</v>
      </c>
    </row>
    <row r="35" spans="1:2">
      <c r="A35" s="47" t="s">
        <v>152</v>
      </c>
      <c r="B35" t="str">
        <f>VLOOKUP(A35,'Directorio comf+ zon'!B:J,9,0)</f>
        <v>drogueriaedscaney@comfandi.com.co</v>
      </c>
    </row>
    <row r="36" spans="1:2">
      <c r="A36" s="47" t="s">
        <v>154</v>
      </c>
      <c r="B36" t="str">
        <f>VLOOKUP(A36,'Directorio comf+ zon'!B:J,9,0)</f>
        <v>drogueriamorichal@comfandi.com.co</v>
      </c>
    </row>
    <row r="37" spans="1:2">
      <c r="A37" s="47" t="s">
        <v>156</v>
      </c>
      <c r="B37" t="str">
        <f>VLOOKUP(A37,'Directorio comf+ zon'!B:J,9,0)</f>
        <v>drogueriapodium@comfandi.com.co</v>
      </c>
    </row>
    <row r="38" spans="1:2">
      <c r="A38" s="47" t="s">
        <v>158</v>
      </c>
      <c r="B38" t="str">
        <f>VLOOKUP(A38,'Directorio comf+ zon'!B:J,9,0)</f>
        <v>drogueriasanfernando@comfandi.com.co</v>
      </c>
    </row>
    <row r="39" spans="1:2">
      <c r="A39" s="47" t="s">
        <v>160</v>
      </c>
      <c r="B39" t="str">
        <f>VLOOKUP(A39,'Directorio comf+ zon'!B:J,9,0)</f>
        <v>drogsanjoaquin@comfandi.com.co</v>
      </c>
    </row>
    <row r="40" spans="1:2">
      <c r="A40" s="47" t="s">
        <v>162</v>
      </c>
      <c r="B40" t="str">
        <f>VLOOKUP(A40,'Directorio comf+ zon'!B:J,9,0)</f>
        <v>drogueriacosmocentro@comfandi.com.co</v>
      </c>
    </row>
    <row r="41" spans="1:2">
      <c r="A41" s="47" t="s">
        <v>164</v>
      </c>
      <c r="B41" t="str">
        <f>VLOOKUP(A41,'Directorio comf+ zon'!B:J,9,0)</f>
        <v>drogueriatequendama2@comfandi.com.co</v>
      </c>
    </row>
    <row r="42" spans="1:2">
      <c r="A42" s="47" t="s">
        <v>167</v>
      </c>
      <c r="B42" t="str">
        <f>VLOOKUP(A42,'Directorio comf+ zon'!B:J,9,0)</f>
        <v>drogueriaunicentro@comfandi.com.co</v>
      </c>
    </row>
    <row r="43" spans="1:2">
      <c r="A43" s="47" t="s">
        <v>169</v>
      </c>
      <c r="B43" t="str">
        <f>VLOOKUP(A43,'Directorio comf+ zon'!B:J,9,0)</f>
        <v>drogueriavallelili@comfandi.com.co</v>
      </c>
    </row>
    <row r="44" spans="1:2">
      <c r="A44" s="47" t="s">
        <v>172</v>
      </c>
      <c r="B44" t="str">
        <f>VLOOKUP(A44,'Directorio comf+ zon'!B:J,9,0)</f>
        <v>drogvalledellili2@comfandi.com.co</v>
      </c>
    </row>
    <row r="45" spans="1:2">
      <c r="A45" s="47" t="s">
        <v>174</v>
      </c>
      <c r="B45" t="str">
        <f>VLOOKUP(A45,'Directorio comf+ zon'!B:J,9,0)</f>
        <v xml:space="preserve">alejandragiraldo@comfandi.com.co;almacenipsmorichal@comfandi.com.co </v>
      </c>
    </row>
    <row r="46" spans="1:2">
      <c r="A46" s="47" t="s">
        <v>177</v>
      </c>
      <c r="B46" t="str">
        <f>VLOOKUP(A46,'Directorio comf+ zon'!B:J,9,0)</f>
        <v>citassia@comfandi.com.co;mjosefacastro@comfandi.com.co</v>
      </c>
    </row>
    <row r="47" spans="1:2">
      <c r="A47" s="47" t="s">
        <v>180</v>
      </c>
      <c r="B47" t="str">
        <f>VLOOKUP(A47,'Directorio comf+ zon'!B:J,9,0)</f>
        <v>mariaangelicaparra@comfandi.com.co;auxacademicociudadela@comfandi.com.co;dianaarboleda@comfandi.com.co</v>
      </c>
    </row>
    <row r="48" spans="1:2">
      <c r="A48" s="47" t="s">
        <v>182</v>
      </c>
      <c r="B48" t="str">
        <f>VLOOKUP(A48,'Directorio comf+ zon'!B:J,9,0)</f>
        <v>directorcolegioterranova@comfandi.com.co;dianaarboleda@comfandi.com.co</v>
      </c>
    </row>
    <row r="49" spans="1:2">
      <c r="A49" s="47" t="s">
        <v>185</v>
      </c>
      <c r="B49" t="str">
        <f>VLOOKUP(A49,'Directorio comf+ zon'!B:J,9,0)</f>
        <v>directorcolegiobuga@comfandi.com.co;dianaarboleda@comfandi.com.co</v>
      </c>
    </row>
    <row r="50" spans="1:2">
      <c r="A50" s="47" t="s">
        <v>190</v>
      </c>
      <c r="B50" t="str">
        <f>VLOOKUP(A50,'Directorio comf+ zon'!B:J,9,0)</f>
        <v>andreahernandez@comfandi.com.co</v>
      </c>
    </row>
    <row r="51" spans="1:2">
      <c r="A51" s="47" t="s">
        <v>194</v>
      </c>
      <c r="B51" t="str">
        <f>VLOOKUP(A51,'Directorio comf+ zon'!B:J,9,0)</f>
        <v>direccionipsbuga@comfandi.com.co</v>
      </c>
    </row>
    <row r="52" spans="1:2">
      <c r="A52" s="47" t="s">
        <v>197</v>
      </c>
      <c r="B52" t="str">
        <f>VLOOKUP(A52,'Directorio comf+ zon'!B:J,9,0)</f>
        <v>claudiagrueso@comfandi.com.co;dianaarboleda@comfandi.com.co</v>
      </c>
    </row>
    <row r="53" spans="1:2">
      <c r="A53" s="47" t="s">
        <v>201</v>
      </c>
      <c r="B53" t="str">
        <f>VLOOKUP(A53,'Directorio comf+ zon'!B:J,9,0)</f>
        <v>claudiagrueso@comfandi.com.co; mariafernandalopez@comfandi.com.co; juanrocha@comfandi.com.co</v>
      </c>
    </row>
    <row r="54" spans="1:2">
      <c r="A54" s="47" t="s">
        <v>205</v>
      </c>
      <c r="B54" t="str">
        <f>VLOOKUP(A54,'Directorio comf+ zon'!B:J,9,0)</f>
        <v>auxcisbuenaventura@Comfandi.com.co</v>
      </c>
    </row>
    <row r="55" spans="1:2">
      <c r="A55" s="47" t="s">
        <v>208</v>
      </c>
      <c r="B55" t="str">
        <f>VLOOKUP(A55,'Directorio comf+ zon'!B:J,9,0)</f>
        <v>drogbellavistabuenaventura@comfandi.com.co</v>
      </c>
    </row>
    <row r="56" spans="1:2">
      <c r="A56" s="47" t="s">
        <v>210</v>
      </c>
      <c r="B56" t="str">
        <f>VLOOKUP(A56,'Directorio comf+ zon'!B:J,9,0)</f>
        <v>directoracolegiostulua@comfandi.com.co;dianaarboleda@comfandi.com.co</v>
      </c>
    </row>
    <row r="57" spans="1:2">
      <c r="A57" s="47" t="s">
        <v>213</v>
      </c>
    </row>
    <row r="58" spans="1:2">
      <c r="A58" s="47" t="s">
        <v>214</v>
      </c>
      <c r="B58" t="str">
        <f>VLOOKUP(A58,'Directorio comf+ zon'!B:J,9,0)</f>
        <v>direccionipscartago@comfandi.com.co</v>
      </c>
    </row>
    <row r="59" spans="1:2">
      <c r="A59" s="47" t="s">
        <v>218</v>
      </c>
    </row>
    <row r="60" spans="1:2">
      <c r="A60" s="47" t="s">
        <v>221</v>
      </c>
      <c r="B60" t="str">
        <f>VLOOKUP(A60,'Directorio comf+ zon'!B:J,9,0)</f>
        <v>drogueriaaeropuerto@comfandi.com.co</v>
      </c>
    </row>
    <row r="61" spans="1:2">
      <c r="A61" s="47" t="s">
        <v>223</v>
      </c>
      <c r="B61" t="str">
        <f>VLOOKUP(A61,'Directorio comf+ zon'!B:J,9,0)</f>
        <v>drogueriabugaprincipal@comfandi.com.co</v>
      </c>
    </row>
    <row r="62" spans="1:2">
      <c r="A62" s="47" t="s">
        <v>225</v>
      </c>
      <c r="B62" t="str">
        <f>VLOOKUP(A62,'Directorio comf+ zon'!B:J,9,0)</f>
        <v>drogbugalagrande@comfandi.com.co</v>
      </c>
    </row>
    <row r="63" spans="1:2">
      <c r="A63" s="47" t="s">
        <v>227</v>
      </c>
      <c r="B63" t="str">
        <f>VLOOKUP(A63,'Directorio comf+ zon'!B:J,9,0)</f>
        <v>drogueriacarrera35@comfandi.com.co</v>
      </c>
    </row>
    <row r="64" spans="1:2">
      <c r="A64" s="47" t="s">
        <v>229</v>
      </c>
      <c r="B64" t="str">
        <f>VLOOKUP(A64,'Directorio comf+ zon'!B:J,9,0)</f>
        <v>drogueriaprincipalcartago@comfandi.com.co</v>
      </c>
    </row>
    <row r="65" spans="1:2">
      <c r="A65" s="47" t="s">
        <v>231</v>
      </c>
      <c r="B65" t="str">
        <f>VLOOKUP(A65,'Directorio comf+ zon'!B:J,9,0)</f>
        <v>centrorecreativobuga@comfandi.com.co</v>
      </c>
    </row>
    <row r="66" spans="1:2">
      <c r="A66" s="47" t="s">
        <v>234</v>
      </c>
      <c r="B66" t="str">
        <f>VLOOKUP(A66,'Directorio comf+ zon'!B:J,9,0)</f>
        <v>directorcolegiobuga@comfandi.com.co; dianaarboleda@comfandi.com.co</v>
      </c>
    </row>
    <row r="67" spans="1:2">
      <c r="A67" s="47" t="s">
        <v>236</v>
      </c>
      <c r="B67" t="str">
        <f>VLOOKUP(A67,'Directorio comf+ zon'!B:J,9,0)</f>
        <v>alejandroaguirre@comfandi.com.co; juanrocha@comfandi.com.co</v>
      </c>
    </row>
    <row r="68" spans="1:2">
      <c r="A68" s="47" t="s">
        <v>238</v>
      </c>
      <c r="B68" t="str">
        <f>VLOOKUP(A68,'Directorio comf+ zon'!B:J,9,0)</f>
        <v>alexisrojasospina@comfandi.com.co; juanrocha@comfandi.com.co</v>
      </c>
    </row>
    <row r="69" spans="1:2">
      <c r="A69" s="47" t="s">
        <v>239</v>
      </c>
      <c r="B69" t="str">
        <f>VLOOKUP(A69,'Directorio comf+ zon'!B:J,9,0)</f>
        <v>norhabedoya@comfandi.com.co;dianaarboleda@comfandi.com.co</v>
      </c>
    </row>
    <row r="70" spans="1:2">
      <c r="A70" s="47" t="s">
        <v>241</v>
      </c>
      <c r="B70" t="str">
        <f>VLOOKUP(A70,'Directorio comf+ zon'!B:J,9,0)</f>
        <v>cenobialoaiza@comfandi.com.co</v>
      </c>
    </row>
    <row r="71" spans="1:2">
      <c r="A71" s="47" t="s">
        <v>243</v>
      </c>
      <c r="B71" t="str">
        <f>VLOOKUP(A71,'Directorio comf+ zon'!B:J,9,0)</f>
        <v>margaritagracia@comfandi.com.co; mauriciorengifo@comfandi.com.co</v>
      </c>
    </row>
    <row r="72" spans="1:2">
      <c r="A72" s="47" t="s">
        <v>246</v>
      </c>
      <c r="B72" t="str">
        <f>VLOOKUP(A72,'Directorio comf+ zon'!B:J,9,0)</f>
        <v>direccionipstulua@comfandi.com.co</v>
      </c>
    </row>
    <row r="73" spans="1:2">
      <c r="A73" s="47" t="s">
        <v>249</v>
      </c>
      <c r="B73" t="str">
        <f>VLOOKUP(A73,'Directorio comf+ zon'!B:J,9,0)</f>
        <v>secreipscartago@comfandi.com.co</v>
      </c>
    </row>
    <row r="74" spans="1:2">
      <c r="A74" s="47" t="s">
        <v>252</v>
      </c>
      <c r="B74" t="str">
        <f>VLOOKUP(A74,'Directorio comf+ zon'!B:J,9,0)</f>
        <v>dianalizalda@comfandi.com.co; juanrocha@comfandi.com.co</v>
      </c>
    </row>
    <row r="75" spans="1:2">
      <c r="A75" s="47" t="s">
        <v>254</v>
      </c>
      <c r="B75" t="str">
        <f>VLOOKUP(A75,'Directorio comf+ zon'!B:J,9,0)</f>
        <v>leidybravo@comfandi.com.co;dianaarboleda@comfandi.com.co</v>
      </c>
    </row>
    <row r="76" spans="1:2">
      <c r="A76" s="47" t="s">
        <v>258</v>
      </c>
      <c r="B76" t="str">
        <f>VLOOKUP(A76,'Directorio comf+ zon'!B:J,9,0)</f>
        <v>milenavelez@comfandi.com.co;gracielapena@comfandi.com.co;biblioescolarpalmira@comfandi.com.co;dianaarboleda@comfandi.com.co</v>
      </c>
    </row>
    <row r="77" spans="1:2">
      <c r="A77" s="47" t="s">
        <v>260</v>
      </c>
      <c r="B77" t="str">
        <f>VLOOKUP(A77,'Directorio comf+ zon'!B:J,9,0)</f>
        <v>libardodiaz@comfandi.com.co;lorenarivas@comfandi.com.co;dianaarboleda@comfandi.com.co</v>
      </c>
    </row>
    <row r="78" spans="1:2">
      <c r="A78" s="47" t="s">
        <v>262</v>
      </c>
      <c r="B78" t="str">
        <f>VLOOKUP(A78,'Directorio comf+ zon'!B:J,9,0)</f>
        <v>libardodiaz@comfandi.com.co;karenvalencia@comfandi.com.co;dianaarboleda@comfandi.com.co</v>
      </c>
    </row>
    <row r="79" spans="1:2">
      <c r="A79" s="47" t="s">
        <v>266</v>
      </c>
      <c r="B79" t="str">
        <f>VLOOKUP(A79,'Directorio comf+ zon'!B:J,9,0)</f>
        <v>libardodiaz@comfandi.com.co;dianaarboleda@comfandi.com.co</v>
      </c>
    </row>
    <row r="80" spans="1:2">
      <c r="A80" s="47" t="s">
        <v>269</v>
      </c>
      <c r="B80" t="str">
        <f>VLOOKUP(A80,'Directorio comf+ zon'!B:J,9,0)</f>
        <v>carlosmontoya@comfandi.com.co; miltonbotina@comfandi.com.co;dianaarboleda@comfandi.com.co</v>
      </c>
    </row>
    <row r="81" spans="1:2">
      <c r="A81" s="47" t="s">
        <v>271</v>
      </c>
      <c r="B81" t="str">
        <f>VLOOKUP(A81,'Directorio comf+ zon'!B:J,9,0)</f>
        <v>pilargiraldo@comfandi.com.co;claudiacastillo@comfandi.com.co</v>
      </c>
    </row>
    <row r="82" spans="1:2">
      <c r="A82" s="47" t="s">
        <v>275</v>
      </c>
      <c r="B82" t="str">
        <f>VLOOKUP(A82,'Directorio comf+ zon'!B:J,9,0)</f>
        <v>doraguzman@comfandi.com.co;dianaarboleda@comfandi.com.co</v>
      </c>
    </row>
    <row r="83" spans="1:2">
      <c r="A83" s="47" t="s">
        <v>277</v>
      </c>
      <c r="B83" t="str">
        <f>VLOOKUP(A83,'Directorio comf+ zon'!B:J,9,0)</f>
        <v>libardodiaz@comfandi.com.co;dianaarboleda@comfandi.com.co</v>
      </c>
    </row>
    <row r="84" spans="1:2" s="47" customFormat="1">
      <c r="A84" s="47" t="s">
        <v>266</v>
      </c>
      <c r="B84" s="47" t="str">
        <f>VLOOKUP(A84,'Directorio comf+ zon'!B:J,9,0)</f>
        <v>libardodiaz@comfandi.com.co;dianaarboleda@comfandi.com.co</v>
      </c>
    </row>
    <row r="85" spans="1:2" s="47" customFormat="1">
      <c r="A85" s="47" t="s">
        <v>269</v>
      </c>
      <c r="B85" s="47" t="str">
        <f>VLOOKUP(A85,'Directorio comf+ zon'!B:J,9,0)</f>
        <v>carlosmontoya@comfandi.com.co; miltonbotina@comfandi.com.co;dianaarboleda@comfandi.com.co</v>
      </c>
    </row>
    <row r="86" spans="1:2" s="47" customFormat="1">
      <c r="A86" s="47" t="s">
        <v>271</v>
      </c>
      <c r="B86" s="47" t="str">
        <f>VLOOKUP(A86,'Directorio comf+ zon'!B:J,9,0)</f>
        <v>pilargiraldo@comfandi.com.co;claudiacastillo@comfandi.com.co</v>
      </c>
    </row>
    <row r="87" spans="1:2" s="47" customFormat="1">
      <c r="A87" s="47" t="s">
        <v>275</v>
      </c>
      <c r="B87" s="47" t="str">
        <f>VLOOKUP(A87,'Directorio comf+ zon'!B:J,9,0)</f>
        <v>doraguzman@comfandi.com.co;dianaarboleda@comfandi.com.co</v>
      </c>
    </row>
    <row r="88" spans="1:2" s="47" customFormat="1">
      <c r="A88" s="47" t="s">
        <v>277</v>
      </c>
      <c r="B88" s="47" t="str">
        <f>VLOOKUP(A88,'Directorio comf+ zon'!B:J,9,0)</f>
        <v>libardodiaz@comfandi.com.co;dianaarboleda@comfandi.com.co</v>
      </c>
    </row>
  </sheetData>
  <autoFilter ref="A1:B83" xr:uid="{8091602F-6EBA-4E04-99C8-526D1019A792}"/>
  <conditionalFormatting sqref="A1:A83">
    <cfRule type="duplicateValues" dxfId="64" priority="24999"/>
  </conditionalFormatting>
  <conditionalFormatting sqref="A10">
    <cfRule type="duplicateValues" dxfId="63" priority="2"/>
  </conditionalFormatting>
  <conditionalFormatting sqref="A19">
    <cfRule type="duplicateValues" dxfId="62" priority="3"/>
    <cfRule type="duplicateValues" dxfId="61" priority="4"/>
    <cfRule type="duplicateValues" dxfId="60" priority="5"/>
    <cfRule type="duplicateValues" dxfId="59" priority="6"/>
  </conditionalFormatting>
  <conditionalFormatting sqref="A84:XFD88">
    <cfRule type="duplicateValues" dxfId="58"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7A8E-007B-4E70-A95B-280930ED4881}">
  <dimension ref="A1:M187"/>
  <sheetViews>
    <sheetView showGridLines="0" tabSelected="1" zoomScaleNormal="100" workbookViewId="0">
      <pane ySplit="1" topLeftCell="A133" activePane="bottomLeft" state="frozen"/>
      <selection pane="bottomLeft" activeCell="F153" sqref="F153"/>
      <selection activeCell="J1" sqref="J1"/>
    </sheetView>
  </sheetViews>
  <sheetFormatPr defaultColWidth="11.42578125" defaultRowHeight="14.45"/>
  <cols>
    <col min="1" max="1" width="17.140625" style="242" bestFit="1" customWidth="1"/>
    <col min="2" max="2" width="31.5703125" style="242" customWidth="1"/>
    <col min="3" max="3" width="15.85546875" style="242" bestFit="1" customWidth="1"/>
    <col min="4" max="4" width="13.28515625" style="242" customWidth="1"/>
    <col min="5" max="5" width="24" style="242" customWidth="1"/>
    <col min="6" max="6" width="31.42578125" style="242" customWidth="1"/>
    <col min="7" max="7" width="18.42578125" style="242" customWidth="1"/>
    <col min="8" max="8" width="44.85546875" style="242" hidden="1" customWidth="1"/>
    <col min="9" max="9" width="28.85546875" style="242" customWidth="1"/>
    <col min="10" max="10" width="48.42578125" style="242" customWidth="1"/>
    <col min="11" max="11" width="20.5703125" style="242" customWidth="1"/>
    <col min="12" max="12" width="38.42578125" style="242" customWidth="1"/>
    <col min="13" max="13" width="21.5703125" style="242" customWidth="1"/>
    <col min="14" max="242" width="11.42578125" style="242"/>
    <col min="243" max="243" width="2.28515625" style="242" customWidth="1"/>
    <col min="244" max="244" width="9" style="242" customWidth="1"/>
    <col min="245" max="245" width="14.42578125" style="242" customWidth="1"/>
    <col min="246" max="246" width="37" style="242" customWidth="1"/>
    <col min="247" max="247" width="14" style="242" customWidth="1"/>
    <col min="248" max="248" width="15" style="242" customWidth="1"/>
    <col min="249" max="249" width="14.85546875" style="242" customWidth="1"/>
    <col min="250" max="250" width="9.5703125" style="242" customWidth="1"/>
    <col min="251" max="251" width="11.7109375" style="242" customWidth="1"/>
    <col min="252" max="252" width="14.28515625" style="242" customWidth="1"/>
    <col min="253" max="253" width="20.140625" style="242" customWidth="1"/>
    <col min="254" max="254" width="25.7109375" style="242" customWidth="1"/>
    <col min="255" max="255" width="14.85546875" style="242" customWidth="1"/>
    <col min="256" max="256" width="20.140625" style="242" customWidth="1"/>
    <col min="257" max="257" width="15.42578125" style="242" customWidth="1"/>
    <col min="258" max="258" width="107" style="242" customWidth="1"/>
    <col min="259" max="259" width="27.42578125" style="242" customWidth="1"/>
    <col min="260" max="260" width="28.140625" style="242" customWidth="1"/>
    <col min="261" max="261" width="37.5703125" style="242" customWidth="1"/>
    <col min="262" max="262" width="27.42578125" style="242" customWidth="1"/>
    <col min="263" max="263" width="42.28515625" style="242" customWidth="1"/>
    <col min="264" max="264" width="26" style="242" customWidth="1"/>
    <col min="265" max="265" width="26.28515625" style="242" customWidth="1"/>
    <col min="266" max="266" width="0" style="242" hidden="1" customWidth="1"/>
    <col min="267" max="267" width="13.42578125" style="242" customWidth="1"/>
    <col min="268" max="268" width="16.7109375" style="242" customWidth="1"/>
    <col min="269" max="498" width="11.42578125" style="242"/>
    <col min="499" max="499" width="2.28515625" style="242" customWidth="1"/>
    <col min="500" max="500" width="9" style="242" customWidth="1"/>
    <col min="501" max="501" width="14.42578125" style="242" customWidth="1"/>
    <col min="502" max="502" width="37" style="242" customWidth="1"/>
    <col min="503" max="503" width="14" style="242" customWidth="1"/>
    <col min="504" max="504" width="15" style="242" customWidth="1"/>
    <col min="505" max="505" width="14.85546875" style="242" customWidth="1"/>
    <col min="506" max="506" width="9.5703125" style="242" customWidth="1"/>
    <col min="507" max="507" width="11.7109375" style="242" customWidth="1"/>
    <col min="508" max="508" width="14.28515625" style="242" customWidth="1"/>
    <col min="509" max="509" width="20.140625" style="242" customWidth="1"/>
    <col min="510" max="510" width="25.7109375" style="242" customWidth="1"/>
    <col min="511" max="511" width="14.85546875" style="242" customWidth="1"/>
    <col min="512" max="512" width="20.140625" style="242" customWidth="1"/>
    <col min="513" max="513" width="15.42578125" style="242" customWidth="1"/>
    <col min="514" max="514" width="107" style="242" customWidth="1"/>
    <col min="515" max="515" width="27.42578125" style="242" customWidth="1"/>
    <col min="516" max="516" width="28.140625" style="242" customWidth="1"/>
    <col min="517" max="517" width="37.5703125" style="242" customWidth="1"/>
    <col min="518" max="518" width="27.42578125" style="242" customWidth="1"/>
    <col min="519" max="519" width="42.28515625" style="242" customWidth="1"/>
    <col min="520" max="520" width="26" style="242" customWidth="1"/>
    <col min="521" max="521" width="26.28515625" style="242" customWidth="1"/>
    <col min="522" max="522" width="0" style="242" hidden="1" customWidth="1"/>
    <col min="523" max="523" width="13.42578125" style="242" customWidth="1"/>
    <col min="524" max="524" width="16.7109375" style="242" customWidth="1"/>
    <col min="525" max="754" width="11.42578125" style="242"/>
    <col min="755" max="755" width="2.28515625" style="242" customWidth="1"/>
    <col min="756" max="756" width="9" style="242" customWidth="1"/>
    <col min="757" max="757" width="14.42578125" style="242" customWidth="1"/>
    <col min="758" max="758" width="37" style="242" customWidth="1"/>
    <col min="759" max="759" width="14" style="242" customWidth="1"/>
    <col min="760" max="760" width="15" style="242" customWidth="1"/>
    <col min="761" max="761" width="14.85546875" style="242" customWidth="1"/>
    <col min="762" max="762" width="9.5703125" style="242" customWidth="1"/>
    <col min="763" max="763" width="11.7109375" style="242" customWidth="1"/>
    <col min="764" max="764" width="14.28515625" style="242" customWidth="1"/>
    <col min="765" max="765" width="20.140625" style="242" customWidth="1"/>
    <col min="766" max="766" width="25.7109375" style="242" customWidth="1"/>
    <col min="767" max="767" width="14.85546875" style="242" customWidth="1"/>
    <col min="768" max="768" width="20.140625" style="242" customWidth="1"/>
    <col min="769" max="769" width="15.42578125" style="242" customWidth="1"/>
    <col min="770" max="770" width="107" style="242" customWidth="1"/>
    <col min="771" max="771" width="27.42578125" style="242" customWidth="1"/>
    <col min="772" max="772" width="28.140625" style="242" customWidth="1"/>
    <col min="773" max="773" width="37.5703125" style="242" customWidth="1"/>
    <col min="774" max="774" width="27.42578125" style="242" customWidth="1"/>
    <col min="775" max="775" width="42.28515625" style="242" customWidth="1"/>
    <col min="776" max="776" width="26" style="242" customWidth="1"/>
    <col min="777" max="777" width="26.28515625" style="242" customWidth="1"/>
    <col min="778" max="778" width="0" style="242" hidden="1" customWidth="1"/>
    <col min="779" max="779" width="13.42578125" style="242" customWidth="1"/>
    <col min="780" max="780" width="16.7109375" style="242" customWidth="1"/>
    <col min="781" max="1010" width="11.42578125" style="242"/>
    <col min="1011" max="1011" width="2.28515625" style="242" customWidth="1"/>
    <col min="1012" max="1012" width="9" style="242" customWidth="1"/>
    <col min="1013" max="1013" width="14.42578125" style="242" customWidth="1"/>
    <col min="1014" max="1014" width="37" style="242" customWidth="1"/>
    <col min="1015" max="1015" width="14" style="242" customWidth="1"/>
    <col min="1016" max="1016" width="15" style="242" customWidth="1"/>
    <col min="1017" max="1017" width="14.85546875" style="242" customWidth="1"/>
    <col min="1018" max="1018" width="9.5703125" style="242" customWidth="1"/>
    <col min="1019" max="1019" width="11.7109375" style="242" customWidth="1"/>
    <col min="1020" max="1020" width="14.28515625" style="242" customWidth="1"/>
    <col min="1021" max="1021" width="20.140625" style="242" customWidth="1"/>
    <col min="1022" max="1022" width="25.7109375" style="242" customWidth="1"/>
    <col min="1023" max="1023" width="14.85546875" style="242" customWidth="1"/>
    <col min="1024" max="1024" width="20.140625" style="242" customWidth="1"/>
    <col min="1025" max="1025" width="15.42578125" style="242" customWidth="1"/>
    <col min="1026" max="1026" width="107" style="242" customWidth="1"/>
    <col min="1027" max="1027" width="27.42578125" style="242" customWidth="1"/>
    <col min="1028" max="1028" width="28.140625" style="242" customWidth="1"/>
    <col min="1029" max="1029" width="37.5703125" style="242" customWidth="1"/>
    <col min="1030" max="1030" width="27.42578125" style="242" customWidth="1"/>
    <col min="1031" max="1031" width="42.28515625" style="242" customWidth="1"/>
    <col min="1032" max="1032" width="26" style="242" customWidth="1"/>
    <col min="1033" max="1033" width="26.28515625" style="242" customWidth="1"/>
    <col min="1034" max="1034" width="0" style="242" hidden="1" customWidth="1"/>
    <col min="1035" max="1035" width="13.42578125" style="242" customWidth="1"/>
    <col min="1036" max="1036" width="16.7109375" style="242" customWidth="1"/>
    <col min="1037" max="1266" width="11.42578125" style="242"/>
    <col min="1267" max="1267" width="2.28515625" style="242" customWidth="1"/>
    <col min="1268" max="1268" width="9" style="242" customWidth="1"/>
    <col min="1269" max="1269" width="14.42578125" style="242" customWidth="1"/>
    <col min="1270" max="1270" width="37" style="242" customWidth="1"/>
    <col min="1271" max="1271" width="14" style="242" customWidth="1"/>
    <col min="1272" max="1272" width="15" style="242" customWidth="1"/>
    <col min="1273" max="1273" width="14.85546875" style="242" customWidth="1"/>
    <col min="1274" max="1274" width="9.5703125" style="242" customWidth="1"/>
    <col min="1275" max="1275" width="11.7109375" style="242" customWidth="1"/>
    <col min="1276" max="1276" width="14.28515625" style="242" customWidth="1"/>
    <col min="1277" max="1277" width="20.140625" style="242" customWidth="1"/>
    <col min="1278" max="1278" width="25.7109375" style="242" customWidth="1"/>
    <col min="1279" max="1279" width="14.85546875" style="242" customWidth="1"/>
    <col min="1280" max="1280" width="20.140625" style="242" customWidth="1"/>
    <col min="1281" max="1281" width="15.42578125" style="242" customWidth="1"/>
    <col min="1282" max="1282" width="107" style="242" customWidth="1"/>
    <col min="1283" max="1283" width="27.42578125" style="242" customWidth="1"/>
    <col min="1284" max="1284" width="28.140625" style="242" customWidth="1"/>
    <col min="1285" max="1285" width="37.5703125" style="242" customWidth="1"/>
    <col min="1286" max="1286" width="27.42578125" style="242" customWidth="1"/>
    <col min="1287" max="1287" width="42.28515625" style="242" customWidth="1"/>
    <col min="1288" max="1288" width="26" style="242" customWidth="1"/>
    <col min="1289" max="1289" width="26.28515625" style="242" customWidth="1"/>
    <col min="1290" max="1290" width="0" style="242" hidden="1" customWidth="1"/>
    <col min="1291" max="1291" width="13.42578125" style="242" customWidth="1"/>
    <col min="1292" max="1292" width="16.7109375" style="242" customWidth="1"/>
    <col min="1293" max="1522" width="11.42578125" style="242"/>
    <col min="1523" max="1523" width="2.28515625" style="242" customWidth="1"/>
    <col min="1524" max="1524" width="9" style="242" customWidth="1"/>
    <col min="1525" max="1525" width="14.42578125" style="242" customWidth="1"/>
    <col min="1526" max="1526" width="37" style="242" customWidth="1"/>
    <col min="1527" max="1527" width="14" style="242" customWidth="1"/>
    <col min="1528" max="1528" width="15" style="242" customWidth="1"/>
    <col min="1529" max="1529" width="14.85546875" style="242" customWidth="1"/>
    <col min="1530" max="1530" width="9.5703125" style="242" customWidth="1"/>
    <col min="1531" max="1531" width="11.7109375" style="242" customWidth="1"/>
    <col min="1532" max="1532" width="14.28515625" style="242" customWidth="1"/>
    <col min="1533" max="1533" width="20.140625" style="242" customWidth="1"/>
    <col min="1534" max="1534" width="25.7109375" style="242" customWidth="1"/>
    <col min="1535" max="1535" width="14.85546875" style="242" customWidth="1"/>
    <col min="1536" max="1536" width="20.140625" style="242" customWidth="1"/>
    <col min="1537" max="1537" width="15.42578125" style="242" customWidth="1"/>
    <col min="1538" max="1538" width="107" style="242" customWidth="1"/>
    <col min="1539" max="1539" width="27.42578125" style="242" customWidth="1"/>
    <col min="1540" max="1540" width="28.140625" style="242" customWidth="1"/>
    <col min="1541" max="1541" width="37.5703125" style="242" customWidth="1"/>
    <col min="1542" max="1542" width="27.42578125" style="242" customWidth="1"/>
    <col min="1543" max="1543" width="42.28515625" style="242" customWidth="1"/>
    <col min="1544" max="1544" width="26" style="242" customWidth="1"/>
    <col min="1545" max="1545" width="26.28515625" style="242" customWidth="1"/>
    <col min="1546" max="1546" width="0" style="242" hidden="1" customWidth="1"/>
    <col min="1547" max="1547" width="13.42578125" style="242" customWidth="1"/>
    <col min="1548" max="1548" width="16.7109375" style="242" customWidth="1"/>
    <col min="1549" max="1778" width="11.42578125" style="242"/>
    <col min="1779" max="1779" width="2.28515625" style="242" customWidth="1"/>
    <col min="1780" max="1780" width="9" style="242" customWidth="1"/>
    <col min="1781" max="1781" width="14.42578125" style="242" customWidth="1"/>
    <col min="1782" max="1782" width="37" style="242" customWidth="1"/>
    <col min="1783" max="1783" width="14" style="242" customWidth="1"/>
    <col min="1784" max="1784" width="15" style="242" customWidth="1"/>
    <col min="1785" max="1785" width="14.85546875" style="242" customWidth="1"/>
    <col min="1786" max="1786" width="9.5703125" style="242" customWidth="1"/>
    <col min="1787" max="1787" width="11.7109375" style="242" customWidth="1"/>
    <col min="1788" max="1788" width="14.28515625" style="242" customWidth="1"/>
    <col min="1789" max="1789" width="20.140625" style="242" customWidth="1"/>
    <col min="1790" max="1790" width="25.7109375" style="242" customWidth="1"/>
    <col min="1791" max="1791" width="14.85546875" style="242" customWidth="1"/>
    <col min="1792" max="1792" width="20.140625" style="242" customWidth="1"/>
    <col min="1793" max="1793" width="15.42578125" style="242" customWidth="1"/>
    <col min="1794" max="1794" width="107" style="242" customWidth="1"/>
    <col min="1795" max="1795" width="27.42578125" style="242" customWidth="1"/>
    <col min="1796" max="1796" width="28.140625" style="242" customWidth="1"/>
    <col min="1797" max="1797" width="37.5703125" style="242" customWidth="1"/>
    <col min="1798" max="1798" width="27.42578125" style="242" customWidth="1"/>
    <col min="1799" max="1799" width="42.28515625" style="242" customWidth="1"/>
    <col min="1800" max="1800" width="26" style="242" customWidth="1"/>
    <col min="1801" max="1801" width="26.28515625" style="242" customWidth="1"/>
    <col min="1802" max="1802" width="0" style="242" hidden="1" customWidth="1"/>
    <col min="1803" max="1803" width="13.42578125" style="242" customWidth="1"/>
    <col min="1804" max="1804" width="16.7109375" style="242" customWidth="1"/>
    <col min="1805" max="2034" width="11.42578125" style="242"/>
    <col min="2035" max="2035" width="2.28515625" style="242" customWidth="1"/>
    <col min="2036" max="2036" width="9" style="242" customWidth="1"/>
    <col min="2037" max="2037" width="14.42578125" style="242" customWidth="1"/>
    <col min="2038" max="2038" width="37" style="242" customWidth="1"/>
    <col min="2039" max="2039" width="14" style="242" customWidth="1"/>
    <col min="2040" max="2040" width="15" style="242" customWidth="1"/>
    <col min="2041" max="2041" width="14.85546875" style="242" customWidth="1"/>
    <col min="2042" max="2042" width="9.5703125" style="242" customWidth="1"/>
    <col min="2043" max="2043" width="11.7109375" style="242" customWidth="1"/>
    <col min="2044" max="2044" width="14.28515625" style="242" customWidth="1"/>
    <col min="2045" max="2045" width="20.140625" style="242" customWidth="1"/>
    <col min="2046" max="2046" width="25.7109375" style="242" customWidth="1"/>
    <col min="2047" max="2047" width="14.85546875" style="242" customWidth="1"/>
    <col min="2048" max="2048" width="20.140625" style="242" customWidth="1"/>
    <col min="2049" max="2049" width="15.42578125" style="242" customWidth="1"/>
    <col min="2050" max="2050" width="107" style="242" customWidth="1"/>
    <col min="2051" max="2051" width="27.42578125" style="242" customWidth="1"/>
    <col min="2052" max="2052" width="28.140625" style="242" customWidth="1"/>
    <col min="2053" max="2053" width="37.5703125" style="242" customWidth="1"/>
    <col min="2054" max="2054" width="27.42578125" style="242" customWidth="1"/>
    <col min="2055" max="2055" width="42.28515625" style="242" customWidth="1"/>
    <col min="2056" max="2056" width="26" style="242" customWidth="1"/>
    <col min="2057" max="2057" width="26.28515625" style="242" customWidth="1"/>
    <col min="2058" max="2058" width="0" style="242" hidden="1" customWidth="1"/>
    <col min="2059" max="2059" width="13.42578125" style="242" customWidth="1"/>
    <col min="2060" max="2060" width="16.7109375" style="242" customWidth="1"/>
    <col min="2061" max="2290" width="11.42578125" style="242"/>
    <col min="2291" max="2291" width="2.28515625" style="242" customWidth="1"/>
    <col min="2292" max="2292" width="9" style="242" customWidth="1"/>
    <col min="2293" max="2293" width="14.42578125" style="242" customWidth="1"/>
    <col min="2294" max="2294" width="37" style="242" customWidth="1"/>
    <col min="2295" max="2295" width="14" style="242" customWidth="1"/>
    <col min="2296" max="2296" width="15" style="242" customWidth="1"/>
    <col min="2297" max="2297" width="14.85546875" style="242" customWidth="1"/>
    <col min="2298" max="2298" width="9.5703125" style="242" customWidth="1"/>
    <col min="2299" max="2299" width="11.7109375" style="242" customWidth="1"/>
    <col min="2300" max="2300" width="14.28515625" style="242" customWidth="1"/>
    <col min="2301" max="2301" width="20.140625" style="242" customWidth="1"/>
    <col min="2302" max="2302" width="25.7109375" style="242" customWidth="1"/>
    <col min="2303" max="2303" width="14.85546875" style="242" customWidth="1"/>
    <col min="2304" max="2304" width="20.140625" style="242" customWidth="1"/>
    <col min="2305" max="2305" width="15.42578125" style="242" customWidth="1"/>
    <col min="2306" max="2306" width="107" style="242" customWidth="1"/>
    <col min="2307" max="2307" width="27.42578125" style="242" customWidth="1"/>
    <col min="2308" max="2308" width="28.140625" style="242" customWidth="1"/>
    <col min="2309" max="2309" width="37.5703125" style="242" customWidth="1"/>
    <col min="2310" max="2310" width="27.42578125" style="242" customWidth="1"/>
    <col min="2311" max="2311" width="42.28515625" style="242" customWidth="1"/>
    <col min="2312" max="2312" width="26" style="242" customWidth="1"/>
    <col min="2313" max="2313" width="26.28515625" style="242" customWidth="1"/>
    <col min="2314" max="2314" width="0" style="242" hidden="1" customWidth="1"/>
    <col min="2315" max="2315" width="13.42578125" style="242" customWidth="1"/>
    <col min="2316" max="2316" width="16.7109375" style="242" customWidth="1"/>
    <col min="2317" max="2546" width="11.42578125" style="242"/>
    <col min="2547" max="2547" width="2.28515625" style="242" customWidth="1"/>
    <col min="2548" max="2548" width="9" style="242" customWidth="1"/>
    <col min="2549" max="2549" width="14.42578125" style="242" customWidth="1"/>
    <col min="2550" max="2550" width="37" style="242" customWidth="1"/>
    <col min="2551" max="2551" width="14" style="242" customWidth="1"/>
    <col min="2552" max="2552" width="15" style="242" customWidth="1"/>
    <col min="2553" max="2553" width="14.85546875" style="242" customWidth="1"/>
    <col min="2554" max="2554" width="9.5703125" style="242" customWidth="1"/>
    <col min="2555" max="2555" width="11.7109375" style="242" customWidth="1"/>
    <col min="2556" max="2556" width="14.28515625" style="242" customWidth="1"/>
    <col min="2557" max="2557" width="20.140625" style="242" customWidth="1"/>
    <col min="2558" max="2558" width="25.7109375" style="242" customWidth="1"/>
    <col min="2559" max="2559" width="14.85546875" style="242" customWidth="1"/>
    <col min="2560" max="2560" width="20.140625" style="242" customWidth="1"/>
    <col min="2561" max="2561" width="15.42578125" style="242" customWidth="1"/>
    <col min="2562" max="2562" width="107" style="242" customWidth="1"/>
    <col min="2563" max="2563" width="27.42578125" style="242" customWidth="1"/>
    <col min="2564" max="2564" width="28.140625" style="242" customWidth="1"/>
    <col min="2565" max="2565" width="37.5703125" style="242" customWidth="1"/>
    <col min="2566" max="2566" width="27.42578125" style="242" customWidth="1"/>
    <col min="2567" max="2567" width="42.28515625" style="242" customWidth="1"/>
    <col min="2568" max="2568" width="26" style="242" customWidth="1"/>
    <col min="2569" max="2569" width="26.28515625" style="242" customWidth="1"/>
    <col min="2570" max="2570" width="0" style="242" hidden="1" customWidth="1"/>
    <col min="2571" max="2571" width="13.42578125" style="242" customWidth="1"/>
    <col min="2572" max="2572" width="16.7109375" style="242" customWidth="1"/>
    <col min="2573" max="2802" width="11.42578125" style="242"/>
    <col min="2803" max="2803" width="2.28515625" style="242" customWidth="1"/>
    <col min="2804" max="2804" width="9" style="242" customWidth="1"/>
    <col min="2805" max="2805" width="14.42578125" style="242" customWidth="1"/>
    <col min="2806" max="2806" width="37" style="242" customWidth="1"/>
    <col min="2807" max="2807" width="14" style="242" customWidth="1"/>
    <col min="2808" max="2808" width="15" style="242" customWidth="1"/>
    <col min="2809" max="2809" width="14.85546875" style="242" customWidth="1"/>
    <col min="2810" max="2810" width="9.5703125" style="242" customWidth="1"/>
    <col min="2811" max="2811" width="11.7109375" style="242" customWidth="1"/>
    <col min="2812" max="2812" width="14.28515625" style="242" customWidth="1"/>
    <col min="2813" max="2813" width="20.140625" style="242" customWidth="1"/>
    <col min="2814" max="2814" width="25.7109375" style="242" customWidth="1"/>
    <col min="2815" max="2815" width="14.85546875" style="242" customWidth="1"/>
    <col min="2816" max="2816" width="20.140625" style="242" customWidth="1"/>
    <col min="2817" max="2817" width="15.42578125" style="242" customWidth="1"/>
    <col min="2818" max="2818" width="107" style="242" customWidth="1"/>
    <col min="2819" max="2819" width="27.42578125" style="242" customWidth="1"/>
    <col min="2820" max="2820" width="28.140625" style="242" customWidth="1"/>
    <col min="2821" max="2821" width="37.5703125" style="242" customWidth="1"/>
    <col min="2822" max="2822" width="27.42578125" style="242" customWidth="1"/>
    <col min="2823" max="2823" width="42.28515625" style="242" customWidth="1"/>
    <col min="2824" max="2824" width="26" style="242" customWidth="1"/>
    <col min="2825" max="2825" width="26.28515625" style="242" customWidth="1"/>
    <col min="2826" max="2826" width="0" style="242" hidden="1" customWidth="1"/>
    <col min="2827" max="2827" width="13.42578125" style="242" customWidth="1"/>
    <col min="2828" max="2828" width="16.7109375" style="242" customWidth="1"/>
    <col min="2829" max="3058" width="11.42578125" style="242"/>
    <col min="3059" max="3059" width="2.28515625" style="242" customWidth="1"/>
    <col min="3060" max="3060" width="9" style="242" customWidth="1"/>
    <col min="3061" max="3061" width="14.42578125" style="242" customWidth="1"/>
    <col min="3062" max="3062" width="37" style="242" customWidth="1"/>
    <col min="3063" max="3063" width="14" style="242" customWidth="1"/>
    <col min="3064" max="3064" width="15" style="242" customWidth="1"/>
    <col min="3065" max="3065" width="14.85546875" style="242" customWidth="1"/>
    <col min="3066" max="3066" width="9.5703125" style="242" customWidth="1"/>
    <col min="3067" max="3067" width="11.7109375" style="242" customWidth="1"/>
    <col min="3068" max="3068" width="14.28515625" style="242" customWidth="1"/>
    <col min="3069" max="3069" width="20.140625" style="242" customWidth="1"/>
    <col min="3070" max="3070" width="25.7109375" style="242" customWidth="1"/>
    <col min="3071" max="3071" width="14.85546875" style="242" customWidth="1"/>
    <col min="3072" max="3072" width="20.140625" style="242" customWidth="1"/>
    <col min="3073" max="3073" width="15.42578125" style="242" customWidth="1"/>
    <col min="3074" max="3074" width="107" style="242" customWidth="1"/>
    <col min="3075" max="3075" width="27.42578125" style="242" customWidth="1"/>
    <col min="3076" max="3076" width="28.140625" style="242" customWidth="1"/>
    <col min="3077" max="3077" width="37.5703125" style="242" customWidth="1"/>
    <col min="3078" max="3078" width="27.42578125" style="242" customWidth="1"/>
    <col min="3079" max="3079" width="42.28515625" style="242" customWidth="1"/>
    <col min="3080" max="3080" width="26" style="242" customWidth="1"/>
    <col min="3081" max="3081" width="26.28515625" style="242" customWidth="1"/>
    <col min="3082" max="3082" width="0" style="242" hidden="1" customWidth="1"/>
    <col min="3083" max="3083" width="13.42578125" style="242" customWidth="1"/>
    <col min="3084" max="3084" width="16.7109375" style="242" customWidth="1"/>
    <col min="3085" max="3314" width="11.42578125" style="242"/>
    <col min="3315" max="3315" width="2.28515625" style="242" customWidth="1"/>
    <col min="3316" max="3316" width="9" style="242" customWidth="1"/>
    <col min="3317" max="3317" width="14.42578125" style="242" customWidth="1"/>
    <col min="3318" max="3318" width="37" style="242" customWidth="1"/>
    <col min="3319" max="3319" width="14" style="242" customWidth="1"/>
    <col min="3320" max="3320" width="15" style="242" customWidth="1"/>
    <col min="3321" max="3321" width="14.85546875" style="242" customWidth="1"/>
    <col min="3322" max="3322" width="9.5703125" style="242" customWidth="1"/>
    <col min="3323" max="3323" width="11.7109375" style="242" customWidth="1"/>
    <col min="3324" max="3324" width="14.28515625" style="242" customWidth="1"/>
    <col min="3325" max="3325" width="20.140625" style="242" customWidth="1"/>
    <col min="3326" max="3326" width="25.7109375" style="242" customWidth="1"/>
    <col min="3327" max="3327" width="14.85546875" style="242" customWidth="1"/>
    <col min="3328" max="3328" width="20.140625" style="242" customWidth="1"/>
    <col min="3329" max="3329" width="15.42578125" style="242" customWidth="1"/>
    <col min="3330" max="3330" width="107" style="242" customWidth="1"/>
    <col min="3331" max="3331" width="27.42578125" style="242" customWidth="1"/>
    <col min="3332" max="3332" width="28.140625" style="242" customWidth="1"/>
    <col min="3333" max="3333" width="37.5703125" style="242" customWidth="1"/>
    <col min="3334" max="3334" width="27.42578125" style="242" customWidth="1"/>
    <col min="3335" max="3335" width="42.28515625" style="242" customWidth="1"/>
    <col min="3336" max="3336" width="26" style="242" customWidth="1"/>
    <col min="3337" max="3337" width="26.28515625" style="242" customWidth="1"/>
    <col min="3338" max="3338" width="0" style="242" hidden="1" customWidth="1"/>
    <col min="3339" max="3339" width="13.42578125" style="242" customWidth="1"/>
    <col min="3340" max="3340" width="16.7109375" style="242" customWidth="1"/>
    <col min="3341" max="3570" width="11.42578125" style="242"/>
    <col min="3571" max="3571" width="2.28515625" style="242" customWidth="1"/>
    <col min="3572" max="3572" width="9" style="242" customWidth="1"/>
    <col min="3573" max="3573" width="14.42578125" style="242" customWidth="1"/>
    <col min="3574" max="3574" width="37" style="242" customWidth="1"/>
    <col min="3575" max="3575" width="14" style="242" customWidth="1"/>
    <col min="3576" max="3576" width="15" style="242" customWidth="1"/>
    <col min="3577" max="3577" width="14.85546875" style="242" customWidth="1"/>
    <col min="3578" max="3578" width="9.5703125" style="242" customWidth="1"/>
    <col min="3579" max="3579" width="11.7109375" style="242" customWidth="1"/>
    <col min="3580" max="3580" width="14.28515625" style="242" customWidth="1"/>
    <col min="3581" max="3581" width="20.140625" style="242" customWidth="1"/>
    <col min="3582" max="3582" width="25.7109375" style="242" customWidth="1"/>
    <col min="3583" max="3583" width="14.85546875" style="242" customWidth="1"/>
    <col min="3584" max="3584" width="20.140625" style="242" customWidth="1"/>
    <col min="3585" max="3585" width="15.42578125" style="242" customWidth="1"/>
    <col min="3586" max="3586" width="107" style="242" customWidth="1"/>
    <col min="3587" max="3587" width="27.42578125" style="242" customWidth="1"/>
    <col min="3588" max="3588" width="28.140625" style="242" customWidth="1"/>
    <col min="3589" max="3589" width="37.5703125" style="242" customWidth="1"/>
    <col min="3590" max="3590" width="27.42578125" style="242" customWidth="1"/>
    <col min="3591" max="3591" width="42.28515625" style="242" customWidth="1"/>
    <col min="3592" max="3592" width="26" style="242" customWidth="1"/>
    <col min="3593" max="3593" width="26.28515625" style="242" customWidth="1"/>
    <col min="3594" max="3594" width="0" style="242" hidden="1" customWidth="1"/>
    <col min="3595" max="3595" width="13.42578125" style="242" customWidth="1"/>
    <col min="3596" max="3596" width="16.7109375" style="242" customWidth="1"/>
    <col min="3597" max="3826" width="11.42578125" style="242"/>
    <col min="3827" max="3827" width="2.28515625" style="242" customWidth="1"/>
    <col min="3828" max="3828" width="9" style="242" customWidth="1"/>
    <col min="3829" max="3829" width="14.42578125" style="242" customWidth="1"/>
    <col min="3830" max="3830" width="37" style="242" customWidth="1"/>
    <col min="3831" max="3831" width="14" style="242" customWidth="1"/>
    <col min="3832" max="3832" width="15" style="242" customWidth="1"/>
    <col min="3833" max="3833" width="14.85546875" style="242" customWidth="1"/>
    <col min="3834" max="3834" width="9.5703125" style="242" customWidth="1"/>
    <col min="3835" max="3835" width="11.7109375" style="242" customWidth="1"/>
    <col min="3836" max="3836" width="14.28515625" style="242" customWidth="1"/>
    <col min="3837" max="3837" width="20.140625" style="242" customWidth="1"/>
    <col min="3838" max="3838" width="25.7109375" style="242" customWidth="1"/>
    <col min="3839" max="3839" width="14.85546875" style="242" customWidth="1"/>
    <col min="3840" max="3840" width="20.140625" style="242" customWidth="1"/>
    <col min="3841" max="3841" width="15.42578125" style="242" customWidth="1"/>
    <col min="3842" max="3842" width="107" style="242" customWidth="1"/>
    <col min="3843" max="3843" width="27.42578125" style="242" customWidth="1"/>
    <col min="3844" max="3844" width="28.140625" style="242" customWidth="1"/>
    <col min="3845" max="3845" width="37.5703125" style="242" customWidth="1"/>
    <col min="3846" max="3846" width="27.42578125" style="242" customWidth="1"/>
    <col min="3847" max="3847" width="42.28515625" style="242" customWidth="1"/>
    <col min="3848" max="3848" width="26" style="242" customWidth="1"/>
    <col min="3849" max="3849" width="26.28515625" style="242" customWidth="1"/>
    <col min="3850" max="3850" width="0" style="242" hidden="1" customWidth="1"/>
    <col min="3851" max="3851" width="13.42578125" style="242" customWidth="1"/>
    <col min="3852" max="3852" width="16.7109375" style="242" customWidth="1"/>
    <col min="3853" max="4082" width="11.42578125" style="242"/>
    <col min="4083" max="4083" width="2.28515625" style="242" customWidth="1"/>
    <col min="4084" max="4084" width="9" style="242" customWidth="1"/>
    <col min="4085" max="4085" width="14.42578125" style="242" customWidth="1"/>
    <col min="4086" max="4086" width="37" style="242" customWidth="1"/>
    <col min="4087" max="4087" width="14" style="242" customWidth="1"/>
    <col min="4088" max="4088" width="15" style="242" customWidth="1"/>
    <col min="4089" max="4089" width="14.85546875" style="242" customWidth="1"/>
    <col min="4090" max="4090" width="9.5703125" style="242" customWidth="1"/>
    <col min="4091" max="4091" width="11.7109375" style="242" customWidth="1"/>
    <col min="4092" max="4092" width="14.28515625" style="242" customWidth="1"/>
    <col min="4093" max="4093" width="20.140625" style="242" customWidth="1"/>
    <col min="4094" max="4094" width="25.7109375" style="242" customWidth="1"/>
    <col min="4095" max="4095" width="14.85546875" style="242" customWidth="1"/>
    <col min="4096" max="4096" width="20.140625" style="242" customWidth="1"/>
    <col min="4097" max="4097" width="15.42578125" style="242" customWidth="1"/>
    <col min="4098" max="4098" width="107" style="242" customWidth="1"/>
    <col min="4099" max="4099" width="27.42578125" style="242" customWidth="1"/>
    <col min="4100" max="4100" width="28.140625" style="242" customWidth="1"/>
    <col min="4101" max="4101" width="37.5703125" style="242" customWidth="1"/>
    <col min="4102" max="4102" width="27.42578125" style="242" customWidth="1"/>
    <col min="4103" max="4103" width="42.28515625" style="242" customWidth="1"/>
    <col min="4104" max="4104" width="26" style="242" customWidth="1"/>
    <col min="4105" max="4105" width="26.28515625" style="242" customWidth="1"/>
    <col min="4106" max="4106" width="0" style="242" hidden="1" customWidth="1"/>
    <col min="4107" max="4107" width="13.42578125" style="242" customWidth="1"/>
    <col min="4108" max="4108" width="16.7109375" style="242" customWidth="1"/>
    <col min="4109" max="4338" width="11.42578125" style="242"/>
    <col min="4339" max="4339" width="2.28515625" style="242" customWidth="1"/>
    <col min="4340" max="4340" width="9" style="242" customWidth="1"/>
    <col min="4341" max="4341" width="14.42578125" style="242" customWidth="1"/>
    <col min="4342" max="4342" width="37" style="242" customWidth="1"/>
    <col min="4343" max="4343" width="14" style="242" customWidth="1"/>
    <col min="4344" max="4344" width="15" style="242" customWidth="1"/>
    <col min="4345" max="4345" width="14.85546875" style="242" customWidth="1"/>
    <col min="4346" max="4346" width="9.5703125" style="242" customWidth="1"/>
    <col min="4347" max="4347" width="11.7109375" style="242" customWidth="1"/>
    <col min="4348" max="4348" width="14.28515625" style="242" customWidth="1"/>
    <col min="4349" max="4349" width="20.140625" style="242" customWidth="1"/>
    <col min="4350" max="4350" width="25.7109375" style="242" customWidth="1"/>
    <col min="4351" max="4351" width="14.85546875" style="242" customWidth="1"/>
    <col min="4352" max="4352" width="20.140625" style="242" customWidth="1"/>
    <col min="4353" max="4353" width="15.42578125" style="242" customWidth="1"/>
    <col min="4354" max="4354" width="107" style="242" customWidth="1"/>
    <col min="4355" max="4355" width="27.42578125" style="242" customWidth="1"/>
    <col min="4356" max="4356" width="28.140625" style="242" customWidth="1"/>
    <col min="4357" max="4357" width="37.5703125" style="242" customWidth="1"/>
    <col min="4358" max="4358" width="27.42578125" style="242" customWidth="1"/>
    <col min="4359" max="4359" width="42.28515625" style="242" customWidth="1"/>
    <col min="4360" max="4360" width="26" style="242" customWidth="1"/>
    <col min="4361" max="4361" width="26.28515625" style="242" customWidth="1"/>
    <col min="4362" max="4362" width="0" style="242" hidden="1" customWidth="1"/>
    <col min="4363" max="4363" width="13.42578125" style="242" customWidth="1"/>
    <col min="4364" max="4364" width="16.7109375" style="242" customWidth="1"/>
    <col min="4365" max="4594" width="11.42578125" style="242"/>
    <col min="4595" max="4595" width="2.28515625" style="242" customWidth="1"/>
    <col min="4596" max="4596" width="9" style="242" customWidth="1"/>
    <col min="4597" max="4597" width="14.42578125" style="242" customWidth="1"/>
    <col min="4598" max="4598" width="37" style="242" customWidth="1"/>
    <col min="4599" max="4599" width="14" style="242" customWidth="1"/>
    <col min="4600" max="4600" width="15" style="242" customWidth="1"/>
    <col min="4601" max="4601" width="14.85546875" style="242" customWidth="1"/>
    <col min="4602" max="4602" width="9.5703125" style="242" customWidth="1"/>
    <col min="4603" max="4603" width="11.7109375" style="242" customWidth="1"/>
    <col min="4604" max="4604" width="14.28515625" style="242" customWidth="1"/>
    <col min="4605" max="4605" width="20.140625" style="242" customWidth="1"/>
    <col min="4606" max="4606" width="25.7109375" style="242" customWidth="1"/>
    <col min="4607" max="4607" width="14.85546875" style="242" customWidth="1"/>
    <col min="4608" max="4608" width="20.140625" style="242" customWidth="1"/>
    <col min="4609" max="4609" width="15.42578125" style="242" customWidth="1"/>
    <col min="4610" max="4610" width="107" style="242" customWidth="1"/>
    <col min="4611" max="4611" width="27.42578125" style="242" customWidth="1"/>
    <col min="4612" max="4612" width="28.140625" style="242" customWidth="1"/>
    <col min="4613" max="4613" width="37.5703125" style="242" customWidth="1"/>
    <col min="4614" max="4614" width="27.42578125" style="242" customWidth="1"/>
    <col min="4615" max="4615" width="42.28515625" style="242" customWidth="1"/>
    <col min="4616" max="4616" width="26" style="242" customWidth="1"/>
    <col min="4617" max="4617" width="26.28515625" style="242" customWidth="1"/>
    <col min="4618" max="4618" width="0" style="242" hidden="1" customWidth="1"/>
    <col min="4619" max="4619" width="13.42578125" style="242" customWidth="1"/>
    <col min="4620" max="4620" width="16.7109375" style="242" customWidth="1"/>
    <col min="4621" max="4850" width="11.42578125" style="242"/>
    <col min="4851" max="4851" width="2.28515625" style="242" customWidth="1"/>
    <col min="4852" max="4852" width="9" style="242" customWidth="1"/>
    <col min="4853" max="4853" width="14.42578125" style="242" customWidth="1"/>
    <col min="4854" max="4854" width="37" style="242" customWidth="1"/>
    <col min="4855" max="4855" width="14" style="242" customWidth="1"/>
    <col min="4856" max="4856" width="15" style="242" customWidth="1"/>
    <col min="4857" max="4857" width="14.85546875" style="242" customWidth="1"/>
    <col min="4858" max="4858" width="9.5703125" style="242" customWidth="1"/>
    <col min="4859" max="4859" width="11.7109375" style="242" customWidth="1"/>
    <col min="4860" max="4860" width="14.28515625" style="242" customWidth="1"/>
    <col min="4861" max="4861" width="20.140625" style="242" customWidth="1"/>
    <col min="4862" max="4862" width="25.7109375" style="242" customWidth="1"/>
    <col min="4863" max="4863" width="14.85546875" style="242" customWidth="1"/>
    <col min="4864" max="4864" width="20.140625" style="242" customWidth="1"/>
    <col min="4865" max="4865" width="15.42578125" style="242" customWidth="1"/>
    <col min="4866" max="4866" width="107" style="242" customWidth="1"/>
    <col min="4867" max="4867" width="27.42578125" style="242" customWidth="1"/>
    <col min="4868" max="4868" width="28.140625" style="242" customWidth="1"/>
    <col min="4869" max="4869" width="37.5703125" style="242" customWidth="1"/>
    <col min="4870" max="4870" width="27.42578125" style="242" customWidth="1"/>
    <col min="4871" max="4871" width="42.28515625" style="242" customWidth="1"/>
    <col min="4872" max="4872" width="26" style="242" customWidth="1"/>
    <col min="4873" max="4873" width="26.28515625" style="242" customWidth="1"/>
    <col min="4874" max="4874" width="0" style="242" hidden="1" customWidth="1"/>
    <col min="4875" max="4875" width="13.42578125" style="242" customWidth="1"/>
    <col min="4876" max="4876" width="16.7109375" style="242" customWidth="1"/>
    <col min="4877" max="5106" width="11.42578125" style="242"/>
    <col min="5107" max="5107" width="2.28515625" style="242" customWidth="1"/>
    <col min="5108" max="5108" width="9" style="242" customWidth="1"/>
    <col min="5109" max="5109" width="14.42578125" style="242" customWidth="1"/>
    <col min="5110" max="5110" width="37" style="242" customWidth="1"/>
    <col min="5111" max="5111" width="14" style="242" customWidth="1"/>
    <col min="5112" max="5112" width="15" style="242" customWidth="1"/>
    <col min="5113" max="5113" width="14.85546875" style="242" customWidth="1"/>
    <col min="5114" max="5114" width="9.5703125" style="242" customWidth="1"/>
    <col min="5115" max="5115" width="11.7109375" style="242" customWidth="1"/>
    <col min="5116" max="5116" width="14.28515625" style="242" customWidth="1"/>
    <col min="5117" max="5117" width="20.140625" style="242" customWidth="1"/>
    <col min="5118" max="5118" width="25.7109375" style="242" customWidth="1"/>
    <col min="5119" max="5119" width="14.85546875" style="242" customWidth="1"/>
    <col min="5120" max="5120" width="20.140625" style="242" customWidth="1"/>
    <col min="5121" max="5121" width="15.42578125" style="242" customWidth="1"/>
    <col min="5122" max="5122" width="107" style="242" customWidth="1"/>
    <col min="5123" max="5123" width="27.42578125" style="242" customWidth="1"/>
    <col min="5124" max="5124" width="28.140625" style="242" customWidth="1"/>
    <col min="5125" max="5125" width="37.5703125" style="242" customWidth="1"/>
    <col min="5126" max="5126" width="27.42578125" style="242" customWidth="1"/>
    <col min="5127" max="5127" width="42.28515625" style="242" customWidth="1"/>
    <col min="5128" max="5128" width="26" style="242" customWidth="1"/>
    <col min="5129" max="5129" width="26.28515625" style="242" customWidth="1"/>
    <col min="5130" max="5130" width="0" style="242" hidden="1" customWidth="1"/>
    <col min="5131" max="5131" width="13.42578125" style="242" customWidth="1"/>
    <col min="5132" max="5132" width="16.7109375" style="242" customWidth="1"/>
    <col min="5133" max="5362" width="11.42578125" style="242"/>
    <col min="5363" max="5363" width="2.28515625" style="242" customWidth="1"/>
    <col min="5364" max="5364" width="9" style="242" customWidth="1"/>
    <col min="5365" max="5365" width="14.42578125" style="242" customWidth="1"/>
    <col min="5366" max="5366" width="37" style="242" customWidth="1"/>
    <col min="5367" max="5367" width="14" style="242" customWidth="1"/>
    <col min="5368" max="5368" width="15" style="242" customWidth="1"/>
    <col min="5369" max="5369" width="14.85546875" style="242" customWidth="1"/>
    <col min="5370" max="5370" width="9.5703125" style="242" customWidth="1"/>
    <col min="5371" max="5371" width="11.7109375" style="242" customWidth="1"/>
    <col min="5372" max="5372" width="14.28515625" style="242" customWidth="1"/>
    <col min="5373" max="5373" width="20.140625" style="242" customWidth="1"/>
    <col min="5374" max="5374" width="25.7109375" style="242" customWidth="1"/>
    <col min="5375" max="5375" width="14.85546875" style="242" customWidth="1"/>
    <col min="5376" max="5376" width="20.140625" style="242" customWidth="1"/>
    <col min="5377" max="5377" width="15.42578125" style="242" customWidth="1"/>
    <col min="5378" max="5378" width="107" style="242" customWidth="1"/>
    <col min="5379" max="5379" width="27.42578125" style="242" customWidth="1"/>
    <col min="5380" max="5380" width="28.140625" style="242" customWidth="1"/>
    <col min="5381" max="5381" width="37.5703125" style="242" customWidth="1"/>
    <col min="5382" max="5382" width="27.42578125" style="242" customWidth="1"/>
    <col min="5383" max="5383" width="42.28515625" style="242" customWidth="1"/>
    <col min="5384" max="5384" width="26" style="242" customWidth="1"/>
    <col min="5385" max="5385" width="26.28515625" style="242" customWidth="1"/>
    <col min="5386" max="5386" width="0" style="242" hidden="1" customWidth="1"/>
    <col min="5387" max="5387" width="13.42578125" style="242" customWidth="1"/>
    <col min="5388" max="5388" width="16.7109375" style="242" customWidth="1"/>
    <col min="5389" max="5618" width="11.42578125" style="242"/>
    <col min="5619" max="5619" width="2.28515625" style="242" customWidth="1"/>
    <col min="5620" max="5620" width="9" style="242" customWidth="1"/>
    <col min="5621" max="5621" width="14.42578125" style="242" customWidth="1"/>
    <col min="5622" max="5622" width="37" style="242" customWidth="1"/>
    <col min="5623" max="5623" width="14" style="242" customWidth="1"/>
    <col min="5624" max="5624" width="15" style="242" customWidth="1"/>
    <col min="5625" max="5625" width="14.85546875" style="242" customWidth="1"/>
    <col min="5626" max="5626" width="9.5703125" style="242" customWidth="1"/>
    <col min="5627" max="5627" width="11.7109375" style="242" customWidth="1"/>
    <col min="5628" max="5628" width="14.28515625" style="242" customWidth="1"/>
    <col min="5629" max="5629" width="20.140625" style="242" customWidth="1"/>
    <col min="5630" max="5630" width="25.7109375" style="242" customWidth="1"/>
    <col min="5631" max="5631" width="14.85546875" style="242" customWidth="1"/>
    <col min="5632" max="5632" width="20.140625" style="242" customWidth="1"/>
    <col min="5633" max="5633" width="15.42578125" style="242" customWidth="1"/>
    <col min="5634" max="5634" width="107" style="242" customWidth="1"/>
    <col min="5635" max="5635" width="27.42578125" style="242" customWidth="1"/>
    <col min="5636" max="5636" width="28.140625" style="242" customWidth="1"/>
    <col min="5637" max="5637" width="37.5703125" style="242" customWidth="1"/>
    <col min="5638" max="5638" width="27.42578125" style="242" customWidth="1"/>
    <col min="5639" max="5639" width="42.28515625" style="242" customWidth="1"/>
    <col min="5640" max="5640" width="26" style="242" customWidth="1"/>
    <col min="5641" max="5641" width="26.28515625" style="242" customWidth="1"/>
    <col min="5642" max="5642" width="0" style="242" hidden="1" customWidth="1"/>
    <col min="5643" max="5643" width="13.42578125" style="242" customWidth="1"/>
    <col min="5644" max="5644" width="16.7109375" style="242" customWidth="1"/>
    <col min="5645" max="5874" width="11.42578125" style="242"/>
    <col min="5875" max="5875" width="2.28515625" style="242" customWidth="1"/>
    <col min="5876" max="5876" width="9" style="242" customWidth="1"/>
    <col min="5877" max="5877" width="14.42578125" style="242" customWidth="1"/>
    <col min="5878" max="5878" width="37" style="242" customWidth="1"/>
    <col min="5879" max="5879" width="14" style="242" customWidth="1"/>
    <col min="5880" max="5880" width="15" style="242" customWidth="1"/>
    <col min="5881" max="5881" width="14.85546875" style="242" customWidth="1"/>
    <col min="5882" max="5882" width="9.5703125" style="242" customWidth="1"/>
    <col min="5883" max="5883" width="11.7109375" style="242" customWidth="1"/>
    <col min="5884" max="5884" width="14.28515625" style="242" customWidth="1"/>
    <col min="5885" max="5885" width="20.140625" style="242" customWidth="1"/>
    <col min="5886" max="5886" width="25.7109375" style="242" customWidth="1"/>
    <col min="5887" max="5887" width="14.85546875" style="242" customWidth="1"/>
    <col min="5888" max="5888" width="20.140625" style="242" customWidth="1"/>
    <col min="5889" max="5889" width="15.42578125" style="242" customWidth="1"/>
    <col min="5890" max="5890" width="107" style="242" customWidth="1"/>
    <col min="5891" max="5891" width="27.42578125" style="242" customWidth="1"/>
    <col min="5892" max="5892" width="28.140625" style="242" customWidth="1"/>
    <col min="5893" max="5893" width="37.5703125" style="242" customWidth="1"/>
    <col min="5894" max="5894" width="27.42578125" style="242" customWidth="1"/>
    <col min="5895" max="5895" width="42.28515625" style="242" customWidth="1"/>
    <col min="5896" max="5896" width="26" style="242" customWidth="1"/>
    <col min="5897" max="5897" width="26.28515625" style="242" customWidth="1"/>
    <col min="5898" max="5898" width="0" style="242" hidden="1" customWidth="1"/>
    <col min="5899" max="5899" width="13.42578125" style="242" customWidth="1"/>
    <col min="5900" max="5900" width="16.7109375" style="242" customWidth="1"/>
    <col min="5901" max="6130" width="11.42578125" style="242"/>
    <col min="6131" max="6131" width="2.28515625" style="242" customWidth="1"/>
    <col min="6132" max="6132" width="9" style="242" customWidth="1"/>
    <col min="6133" max="6133" width="14.42578125" style="242" customWidth="1"/>
    <col min="6134" max="6134" width="37" style="242" customWidth="1"/>
    <col min="6135" max="6135" width="14" style="242" customWidth="1"/>
    <col min="6136" max="6136" width="15" style="242" customWidth="1"/>
    <col min="6137" max="6137" width="14.85546875" style="242" customWidth="1"/>
    <col min="6138" max="6138" width="9.5703125" style="242" customWidth="1"/>
    <col min="6139" max="6139" width="11.7109375" style="242" customWidth="1"/>
    <col min="6140" max="6140" width="14.28515625" style="242" customWidth="1"/>
    <col min="6141" max="6141" width="20.140625" style="242" customWidth="1"/>
    <col min="6142" max="6142" width="25.7109375" style="242" customWidth="1"/>
    <col min="6143" max="6143" width="14.85546875" style="242" customWidth="1"/>
    <col min="6144" max="6144" width="20.140625" style="242" customWidth="1"/>
    <col min="6145" max="6145" width="15.42578125" style="242" customWidth="1"/>
    <col min="6146" max="6146" width="107" style="242" customWidth="1"/>
    <col min="6147" max="6147" width="27.42578125" style="242" customWidth="1"/>
    <col min="6148" max="6148" width="28.140625" style="242" customWidth="1"/>
    <col min="6149" max="6149" width="37.5703125" style="242" customWidth="1"/>
    <col min="6150" max="6150" width="27.42578125" style="242" customWidth="1"/>
    <col min="6151" max="6151" width="42.28515625" style="242" customWidth="1"/>
    <col min="6152" max="6152" width="26" style="242" customWidth="1"/>
    <col min="6153" max="6153" width="26.28515625" style="242" customWidth="1"/>
    <col min="6154" max="6154" width="0" style="242" hidden="1" customWidth="1"/>
    <col min="6155" max="6155" width="13.42578125" style="242" customWidth="1"/>
    <col min="6156" max="6156" width="16.7109375" style="242" customWidth="1"/>
    <col min="6157" max="6386" width="11.42578125" style="242"/>
    <col min="6387" max="6387" width="2.28515625" style="242" customWidth="1"/>
    <col min="6388" max="6388" width="9" style="242" customWidth="1"/>
    <col min="6389" max="6389" width="14.42578125" style="242" customWidth="1"/>
    <col min="6390" max="6390" width="37" style="242" customWidth="1"/>
    <col min="6391" max="6391" width="14" style="242" customWidth="1"/>
    <col min="6392" max="6392" width="15" style="242" customWidth="1"/>
    <col min="6393" max="6393" width="14.85546875" style="242" customWidth="1"/>
    <col min="6394" max="6394" width="9.5703125" style="242" customWidth="1"/>
    <col min="6395" max="6395" width="11.7109375" style="242" customWidth="1"/>
    <col min="6396" max="6396" width="14.28515625" style="242" customWidth="1"/>
    <col min="6397" max="6397" width="20.140625" style="242" customWidth="1"/>
    <col min="6398" max="6398" width="25.7109375" style="242" customWidth="1"/>
    <col min="6399" max="6399" width="14.85546875" style="242" customWidth="1"/>
    <col min="6400" max="6400" width="20.140625" style="242" customWidth="1"/>
    <col min="6401" max="6401" width="15.42578125" style="242" customWidth="1"/>
    <col min="6402" max="6402" width="107" style="242" customWidth="1"/>
    <col min="6403" max="6403" width="27.42578125" style="242" customWidth="1"/>
    <col min="6404" max="6404" width="28.140625" style="242" customWidth="1"/>
    <col min="6405" max="6405" width="37.5703125" style="242" customWidth="1"/>
    <col min="6406" max="6406" width="27.42578125" style="242" customWidth="1"/>
    <col min="6407" max="6407" width="42.28515625" style="242" customWidth="1"/>
    <col min="6408" max="6408" width="26" style="242" customWidth="1"/>
    <col min="6409" max="6409" width="26.28515625" style="242" customWidth="1"/>
    <col min="6410" max="6410" width="0" style="242" hidden="1" customWidth="1"/>
    <col min="6411" max="6411" width="13.42578125" style="242" customWidth="1"/>
    <col min="6412" max="6412" width="16.7109375" style="242" customWidth="1"/>
    <col min="6413" max="6642" width="11.42578125" style="242"/>
    <col min="6643" max="6643" width="2.28515625" style="242" customWidth="1"/>
    <col min="6644" max="6644" width="9" style="242" customWidth="1"/>
    <col min="6645" max="6645" width="14.42578125" style="242" customWidth="1"/>
    <col min="6646" max="6646" width="37" style="242" customWidth="1"/>
    <col min="6647" max="6647" width="14" style="242" customWidth="1"/>
    <col min="6648" max="6648" width="15" style="242" customWidth="1"/>
    <col min="6649" max="6649" width="14.85546875" style="242" customWidth="1"/>
    <col min="6650" max="6650" width="9.5703125" style="242" customWidth="1"/>
    <col min="6651" max="6651" width="11.7109375" style="242" customWidth="1"/>
    <col min="6652" max="6652" width="14.28515625" style="242" customWidth="1"/>
    <col min="6653" max="6653" width="20.140625" style="242" customWidth="1"/>
    <col min="6654" max="6654" width="25.7109375" style="242" customWidth="1"/>
    <col min="6655" max="6655" width="14.85546875" style="242" customWidth="1"/>
    <col min="6656" max="6656" width="20.140625" style="242" customWidth="1"/>
    <col min="6657" max="6657" width="15.42578125" style="242" customWidth="1"/>
    <col min="6658" max="6658" width="107" style="242" customWidth="1"/>
    <col min="6659" max="6659" width="27.42578125" style="242" customWidth="1"/>
    <col min="6660" max="6660" width="28.140625" style="242" customWidth="1"/>
    <col min="6661" max="6661" width="37.5703125" style="242" customWidth="1"/>
    <col min="6662" max="6662" width="27.42578125" style="242" customWidth="1"/>
    <col min="6663" max="6663" width="42.28515625" style="242" customWidth="1"/>
    <col min="6664" max="6664" width="26" style="242" customWidth="1"/>
    <col min="6665" max="6665" width="26.28515625" style="242" customWidth="1"/>
    <col min="6666" max="6666" width="0" style="242" hidden="1" customWidth="1"/>
    <col min="6667" max="6667" width="13.42578125" style="242" customWidth="1"/>
    <col min="6668" max="6668" width="16.7109375" style="242" customWidth="1"/>
    <col min="6669" max="6898" width="11.42578125" style="242"/>
    <col min="6899" max="6899" width="2.28515625" style="242" customWidth="1"/>
    <col min="6900" max="6900" width="9" style="242" customWidth="1"/>
    <col min="6901" max="6901" width="14.42578125" style="242" customWidth="1"/>
    <col min="6902" max="6902" width="37" style="242" customWidth="1"/>
    <col min="6903" max="6903" width="14" style="242" customWidth="1"/>
    <col min="6904" max="6904" width="15" style="242" customWidth="1"/>
    <col min="6905" max="6905" width="14.85546875" style="242" customWidth="1"/>
    <col min="6906" max="6906" width="9.5703125" style="242" customWidth="1"/>
    <col min="6907" max="6907" width="11.7109375" style="242" customWidth="1"/>
    <col min="6908" max="6908" width="14.28515625" style="242" customWidth="1"/>
    <col min="6909" max="6909" width="20.140625" style="242" customWidth="1"/>
    <col min="6910" max="6910" width="25.7109375" style="242" customWidth="1"/>
    <col min="6911" max="6911" width="14.85546875" style="242" customWidth="1"/>
    <col min="6912" max="6912" width="20.140625" style="242" customWidth="1"/>
    <col min="6913" max="6913" width="15.42578125" style="242" customWidth="1"/>
    <col min="6914" max="6914" width="107" style="242" customWidth="1"/>
    <col min="6915" max="6915" width="27.42578125" style="242" customWidth="1"/>
    <col min="6916" max="6916" width="28.140625" style="242" customWidth="1"/>
    <col min="6917" max="6917" width="37.5703125" style="242" customWidth="1"/>
    <col min="6918" max="6918" width="27.42578125" style="242" customWidth="1"/>
    <col min="6919" max="6919" width="42.28515625" style="242" customWidth="1"/>
    <col min="6920" max="6920" width="26" style="242" customWidth="1"/>
    <col min="6921" max="6921" width="26.28515625" style="242" customWidth="1"/>
    <col min="6922" max="6922" width="0" style="242" hidden="1" customWidth="1"/>
    <col min="6923" max="6923" width="13.42578125" style="242" customWidth="1"/>
    <col min="6924" max="6924" width="16.7109375" style="242" customWidth="1"/>
    <col min="6925" max="7154" width="11.42578125" style="242"/>
    <col min="7155" max="7155" width="2.28515625" style="242" customWidth="1"/>
    <col min="7156" max="7156" width="9" style="242" customWidth="1"/>
    <col min="7157" max="7157" width="14.42578125" style="242" customWidth="1"/>
    <col min="7158" max="7158" width="37" style="242" customWidth="1"/>
    <col min="7159" max="7159" width="14" style="242" customWidth="1"/>
    <col min="7160" max="7160" width="15" style="242" customWidth="1"/>
    <col min="7161" max="7161" width="14.85546875" style="242" customWidth="1"/>
    <col min="7162" max="7162" width="9.5703125" style="242" customWidth="1"/>
    <col min="7163" max="7163" width="11.7109375" style="242" customWidth="1"/>
    <col min="7164" max="7164" width="14.28515625" style="242" customWidth="1"/>
    <col min="7165" max="7165" width="20.140625" style="242" customWidth="1"/>
    <col min="7166" max="7166" width="25.7109375" style="242" customWidth="1"/>
    <col min="7167" max="7167" width="14.85546875" style="242" customWidth="1"/>
    <col min="7168" max="7168" width="20.140625" style="242" customWidth="1"/>
    <col min="7169" max="7169" width="15.42578125" style="242" customWidth="1"/>
    <col min="7170" max="7170" width="107" style="242" customWidth="1"/>
    <col min="7171" max="7171" width="27.42578125" style="242" customWidth="1"/>
    <col min="7172" max="7172" width="28.140625" style="242" customWidth="1"/>
    <col min="7173" max="7173" width="37.5703125" style="242" customWidth="1"/>
    <col min="7174" max="7174" width="27.42578125" style="242" customWidth="1"/>
    <col min="7175" max="7175" width="42.28515625" style="242" customWidth="1"/>
    <col min="7176" max="7176" width="26" style="242" customWidth="1"/>
    <col min="7177" max="7177" width="26.28515625" style="242" customWidth="1"/>
    <col min="7178" max="7178" width="0" style="242" hidden="1" customWidth="1"/>
    <col min="7179" max="7179" width="13.42578125" style="242" customWidth="1"/>
    <col min="7180" max="7180" width="16.7109375" style="242" customWidth="1"/>
    <col min="7181" max="7410" width="11.42578125" style="242"/>
    <col min="7411" max="7411" width="2.28515625" style="242" customWidth="1"/>
    <col min="7412" max="7412" width="9" style="242" customWidth="1"/>
    <col min="7413" max="7413" width="14.42578125" style="242" customWidth="1"/>
    <col min="7414" max="7414" width="37" style="242" customWidth="1"/>
    <col min="7415" max="7415" width="14" style="242" customWidth="1"/>
    <col min="7416" max="7416" width="15" style="242" customWidth="1"/>
    <col min="7417" max="7417" width="14.85546875" style="242" customWidth="1"/>
    <col min="7418" max="7418" width="9.5703125" style="242" customWidth="1"/>
    <col min="7419" max="7419" width="11.7109375" style="242" customWidth="1"/>
    <col min="7420" max="7420" width="14.28515625" style="242" customWidth="1"/>
    <col min="7421" max="7421" width="20.140625" style="242" customWidth="1"/>
    <col min="7422" max="7422" width="25.7109375" style="242" customWidth="1"/>
    <col min="7423" max="7423" width="14.85546875" style="242" customWidth="1"/>
    <col min="7424" max="7424" width="20.140625" style="242" customWidth="1"/>
    <col min="7425" max="7425" width="15.42578125" style="242" customWidth="1"/>
    <col min="7426" max="7426" width="107" style="242" customWidth="1"/>
    <col min="7427" max="7427" width="27.42578125" style="242" customWidth="1"/>
    <col min="7428" max="7428" width="28.140625" style="242" customWidth="1"/>
    <col min="7429" max="7429" width="37.5703125" style="242" customWidth="1"/>
    <col min="7430" max="7430" width="27.42578125" style="242" customWidth="1"/>
    <col min="7431" max="7431" width="42.28515625" style="242" customWidth="1"/>
    <col min="7432" max="7432" width="26" style="242" customWidth="1"/>
    <col min="7433" max="7433" width="26.28515625" style="242" customWidth="1"/>
    <col min="7434" max="7434" width="0" style="242" hidden="1" customWidth="1"/>
    <col min="7435" max="7435" width="13.42578125" style="242" customWidth="1"/>
    <col min="7436" max="7436" width="16.7109375" style="242" customWidth="1"/>
    <col min="7437" max="7666" width="11.42578125" style="242"/>
    <col min="7667" max="7667" width="2.28515625" style="242" customWidth="1"/>
    <col min="7668" max="7668" width="9" style="242" customWidth="1"/>
    <col min="7669" max="7669" width="14.42578125" style="242" customWidth="1"/>
    <col min="7670" max="7670" width="37" style="242" customWidth="1"/>
    <col min="7671" max="7671" width="14" style="242" customWidth="1"/>
    <col min="7672" max="7672" width="15" style="242" customWidth="1"/>
    <col min="7673" max="7673" width="14.85546875" style="242" customWidth="1"/>
    <col min="7674" max="7674" width="9.5703125" style="242" customWidth="1"/>
    <col min="7675" max="7675" width="11.7109375" style="242" customWidth="1"/>
    <col min="7676" max="7676" width="14.28515625" style="242" customWidth="1"/>
    <col min="7677" max="7677" width="20.140625" style="242" customWidth="1"/>
    <col min="7678" max="7678" width="25.7109375" style="242" customWidth="1"/>
    <col min="7679" max="7679" width="14.85546875" style="242" customWidth="1"/>
    <col min="7680" max="7680" width="20.140625" style="242" customWidth="1"/>
    <col min="7681" max="7681" width="15.42578125" style="242" customWidth="1"/>
    <col min="7682" max="7682" width="107" style="242" customWidth="1"/>
    <col min="7683" max="7683" width="27.42578125" style="242" customWidth="1"/>
    <col min="7684" max="7684" width="28.140625" style="242" customWidth="1"/>
    <col min="7685" max="7685" width="37.5703125" style="242" customWidth="1"/>
    <col min="7686" max="7686" width="27.42578125" style="242" customWidth="1"/>
    <col min="7687" max="7687" width="42.28515625" style="242" customWidth="1"/>
    <col min="7688" max="7688" width="26" style="242" customWidth="1"/>
    <col min="7689" max="7689" width="26.28515625" style="242" customWidth="1"/>
    <col min="7690" max="7690" width="0" style="242" hidden="1" customWidth="1"/>
    <col min="7691" max="7691" width="13.42578125" style="242" customWidth="1"/>
    <col min="7692" max="7692" width="16.7109375" style="242" customWidth="1"/>
    <col min="7693" max="7922" width="11.42578125" style="242"/>
    <col min="7923" max="7923" width="2.28515625" style="242" customWidth="1"/>
    <col min="7924" max="7924" width="9" style="242" customWidth="1"/>
    <col min="7925" max="7925" width="14.42578125" style="242" customWidth="1"/>
    <col min="7926" max="7926" width="37" style="242" customWidth="1"/>
    <col min="7927" max="7927" width="14" style="242" customWidth="1"/>
    <col min="7928" max="7928" width="15" style="242" customWidth="1"/>
    <col min="7929" max="7929" width="14.85546875" style="242" customWidth="1"/>
    <col min="7930" max="7930" width="9.5703125" style="242" customWidth="1"/>
    <col min="7931" max="7931" width="11.7109375" style="242" customWidth="1"/>
    <col min="7932" max="7932" width="14.28515625" style="242" customWidth="1"/>
    <col min="7933" max="7933" width="20.140625" style="242" customWidth="1"/>
    <col min="7934" max="7934" width="25.7109375" style="242" customWidth="1"/>
    <col min="7935" max="7935" width="14.85546875" style="242" customWidth="1"/>
    <col min="7936" max="7936" width="20.140625" style="242" customWidth="1"/>
    <col min="7937" max="7937" width="15.42578125" style="242" customWidth="1"/>
    <col min="7938" max="7938" width="107" style="242" customWidth="1"/>
    <col min="7939" max="7939" width="27.42578125" style="242" customWidth="1"/>
    <col min="7940" max="7940" width="28.140625" style="242" customWidth="1"/>
    <col min="7941" max="7941" width="37.5703125" style="242" customWidth="1"/>
    <col min="7942" max="7942" width="27.42578125" style="242" customWidth="1"/>
    <col min="7943" max="7943" width="42.28515625" style="242" customWidth="1"/>
    <col min="7944" max="7944" width="26" style="242" customWidth="1"/>
    <col min="7945" max="7945" width="26.28515625" style="242" customWidth="1"/>
    <col min="7946" max="7946" width="0" style="242" hidden="1" customWidth="1"/>
    <col min="7947" max="7947" width="13.42578125" style="242" customWidth="1"/>
    <col min="7948" max="7948" width="16.7109375" style="242" customWidth="1"/>
    <col min="7949" max="8178" width="11.42578125" style="242"/>
    <col min="8179" max="8179" width="2.28515625" style="242" customWidth="1"/>
    <col min="8180" max="8180" width="9" style="242" customWidth="1"/>
    <col min="8181" max="8181" width="14.42578125" style="242" customWidth="1"/>
    <col min="8182" max="8182" width="37" style="242" customWidth="1"/>
    <col min="8183" max="8183" width="14" style="242" customWidth="1"/>
    <col min="8184" max="8184" width="15" style="242" customWidth="1"/>
    <col min="8185" max="8185" width="14.85546875" style="242" customWidth="1"/>
    <col min="8186" max="8186" width="9.5703125" style="242" customWidth="1"/>
    <col min="8187" max="8187" width="11.7109375" style="242" customWidth="1"/>
    <col min="8188" max="8188" width="14.28515625" style="242" customWidth="1"/>
    <col min="8189" max="8189" width="20.140625" style="242" customWidth="1"/>
    <col min="8190" max="8190" width="25.7109375" style="242" customWidth="1"/>
    <col min="8191" max="8191" width="14.85546875" style="242" customWidth="1"/>
    <col min="8192" max="8192" width="20.140625" style="242" customWidth="1"/>
    <col min="8193" max="8193" width="15.42578125" style="242" customWidth="1"/>
    <col min="8194" max="8194" width="107" style="242" customWidth="1"/>
    <col min="8195" max="8195" width="27.42578125" style="242" customWidth="1"/>
    <col min="8196" max="8196" width="28.140625" style="242" customWidth="1"/>
    <col min="8197" max="8197" width="37.5703125" style="242" customWidth="1"/>
    <col min="8198" max="8198" width="27.42578125" style="242" customWidth="1"/>
    <col min="8199" max="8199" width="42.28515625" style="242" customWidth="1"/>
    <col min="8200" max="8200" width="26" style="242" customWidth="1"/>
    <col min="8201" max="8201" width="26.28515625" style="242" customWidth="1"/>
    <col min="8202" max="8202" width="0" style="242" hidden="1" customWidth="1"/>
    <col min="8203" max="8203" width="13.42578125" style="242" customWidth="1"/>
    <col min="8204" max="8204" width="16.7109375" style="242" customWidth="1"/>
    <col min="8205" max="8434" width="11.42578125" style="242"/>
    <col min="8435" max="8435" width="2.28515625" style="242" customWidth="1"/>
    <col min="8436" max="8436" width="9" style="242" customWidth="1"/>
    <col min="8437" max="8437" width="14.42578125" style="242" customWidth="1"/>
    <col min="8438" max="8438" width="37" style="242" customWidth="1"/>
    <col min="8439" max="8439" width="14" style="242" customWidth="1"/>
    <col min="8440" max="8440" width="15" style="242" customWidth="1"/>
    <col min="8441" max="8441" width="14.85546875" style="242" customWidth="1"/>
    <col min="8442" max="8442" width="9.5703125" style="242" customWidth="1"/>
    <col min="8443" max="8443" width="11.7109375" style="242" customWidth="1"/>
    <col min="8444" max="8444" width="14.28515625" style="242" customWidth="1"/>
    <col min="8445" max="8445" width="20.140625" style="242" customWidth="1"/>
    <col min="8446" max="8446" width="25.7109375" style="242" customWidth="1"/>
    <col min="8447" max="8447" width="14.85546875" style="242" customWidth="1"/>
    <col min="8448" max="8448" width="20.140625" style="242" customWidth="1"/>
    <col min="8449" max="8449" width="15.42578125" style="242" customWidth="1"/>
    <col min="8450" max="8450" width="107" style="242" customWidth="1"/>
    <col min="8451" max="8451" width="27.42578125" style="242" customWidth="1"/>
    <col min="8452" max="8452" width="28.140625" style="242" customWidth="1"/>
    <col min="8453" max="8453" width="37.5703125" style="242" customWidth="1"/>
    <col min="8454" max="8454" width="27.42578125" style="242" customWidth="1"/>
    <col min="8455" max="8455" width="42.28515625" style="242" customWidth="1"/>
    <col min="8456" max="8456" width="26" style="242" customWidth="1"/>
    <col min="8457" max="8457" width="26.28515625" style="242" customWidth="1"/>
    <col min="8458" max="8458" width="0" style="242" hidden="1" customWidth="1"/>
    <col min="8459" max="8459" width="13.42578125" style="242" customWidth="1"/>
    <col min="8460" max="8460" width="16.7109375" style="242" customWidth="1"/>
    <col min="8461" max="8690" width="11.42578125" style="242"/>
    <col min="8691" max="8691" width="2.28515625" style="242" customWidth="1"/>
    <col min="8692" max="8692" width="9" style="242" customWidth="1"/>
    <col min="8693" max="8693" width="14.42578125" style="242" customWidth="1"/>
    <col min="8694" max="8694" width="37" style="242" customWidth="1"/>
    <col min="8695" max="8695" width="14" style="242" customWidth="1"/>
    <col min="8696" max="8696" width="15" style="242" customWidth="1"/>
    <col min="8697" max="8697" width="14.85546875" style="242" customWidth="1"/>
    <col min="8698" max="8698" width="9.5703125" style="242" customWidth="1"/>
    <col min="8699" max="8699" width="11.7109375" style="242" customWidth="1"/>
    <col min="8700" max="8700" width="14.28515625" style="242" customWidth="1"/>
    <col min="8701" max="8701" width="20.140625" style="242" customWidth="1"/>
    <col min="8702" max="8702" width="25.7109375" style="242" customWidth="1"/>
    <col min="8703" max="8703" width="14.85546875" style="242" customWidth="1"/>
    <col min="8704" max="8704" width="20.140625" style="242" customWidth="1"/>
    <col min="8705" max="8705" width="15.42578125" style="242" customWidth="1"/>
    <col min="8706" max="8706" width="107" style="242" customWidth="1"/>
    <col min="8707" max="8707" width="27.42578125" style="242" customWidth="1"/>
    <col min="8708" max="8708" width="28.140625" style="242" customWidth="1"/>
    <col min="8709" max="8709" width="37.5703125" style="242" customWidth="1"/>
    <col min="8710" max="8710" width="27.42578125" style="242" customWidth="1"/>
    <col min="8711" max="8711" width="42.28515625" style="242" customWidth="1"/>
    <col min="8712" max="8712" width="26" style="242" customWidth="1"/>
    <col min="8713" max="8713" width="26.28515625" style="242" customWidth="1"/>
    <col min="8714" max="8714" width="0" style="242" hidden="1" customWidth="1"/>
    <col min="8715" max="8715" width="13.42578125" style="242" customWidth="1"/>
    <col min="8716" max="8716" width="16.7109375" style="242" customWidth="1"/>
    <col min="8717" max="8946" width="11.42578125" style="242"/>
    <col min="8947" max="8947" width="2.28515625" style="242" customWidth="1"/>
    <col min="8948" max="8948" width="9" style="242" customWidth="1"/>
    <col min="8949" max="8949" width="14.42578125" style="242" customWidth="1"/>
    <col min="8950" max="8950" width="37" style="242" customWidth="1"/>
    <col min="8951" max="8951" width="14" style="242" customWidth="1"/>
    <col min="8952" max="8952" width="15" style="242" customWidth="1"/>
    <col min="8953" max="8953" width="14.85546875" style="242" customWidth="1"/>
    <col min="8954" max="8954" width="9.5703125" style="242" customWidth="1"/>
    <col min="8955" max="8955" width="11.7109375" style="242" customWidth="1"/>
    <col min="8956" max="8956" width="14.28515625" style="242" customWidth="1"/>
    <col min="8957" max="8957" width="20.140625" style="242" customWidth="1"/>
    <col min="8958" max="8958" width="25.7109375" style="242" customWidth="1"/>
    <col min="8959" max="8959" width="14.85546875" style="242" customWidth="1"/>
    <col min="8960" max="8960" width="20.140625" style="242" customWidth="1"/>
    <col min="8961" max="8961" width="15.42578125" style="242" customWidth="1"/>
    <col min="8962" max="8962" width="107" style="242" customWidth="1"/>
    <col min="8963" max="8963" width="27.42578125" style="242" customWidth="1"/>
    <col min="8964" max="8964" width="28.140625" style="242" customWidth="1"/>
    <col min="8965" max="8965" width="37.5703125" style="242" customWidth="1"/>
    <col min="8966" max="8966" width="27.42578125" style="242" customWidth="1"/>
    <col min="8967" max="8967" width="42.28515625" style="242" customWidth="1"/>
    <col min="8968" max="8968" width="26" style="242" customWidth="1"/>
    <col min="8969" max="8969" width="26.28515625" style="242" customWidth="1"/>
    <col min="8970" max="8970" width="0" style="242" hidden="1" customWidth="1"/>
    <col min="8971" max="8971" width="13.42578125" style="242" customWidth="1"/>
    <col min="8972" max="8972" width="16.7109375" style="242" customWidth="1"/>
    <col min="8973" max="9202" width="11.42578125" style="242"/>
    <col min="9203" max="9203" width="2.28515625" style="242" customWidth="1"/>
    <col min="9204" max="9204" width="9" style="242" customWidth="1"/>
    <col min="9205" max="9205" width="14.42578125" style="242" customWidth="1"/>
    <col min="9206" max="9206" width="37" style="242" customWidth="1"/>
    <col min="9207" max="9207" width="14" style="242" customWidth="1"/>
    <col min="9208" max="9208" width="15" style="242" customWidth="1"/>
    <col min="9209" max="9209" width="14.85546875" style="242" customWidth="1"/>
    <col min="9210" max="9210" width="9.5703125" style="242" customWidth="1"/>
    <col min="9211" max="9211" width="11.7109375" style="242" customWidth="1"/>
    <col min="9212" max="9212" width="14.28515625" style="242" customWidth="1"/>
    <col min="9213" max="9213" width="20.140625" style="242" customWidth="1"/>
    <col min="9214" max="9214" width="25.7109375" style="242" customWidth="1"/>
    <col min="9215" max="9215" width="14.85546875" style="242" customWidth="1"/>
    <col min="9216" max="9216" width="20.140625" style="242" customWidth="1"/>
    <col min="9217" max="9217" width="15.42578125" style="242" customWidth="1"/>
    <col min="9218" max="9218" width="107" style="242" customWidth="1"/>
    <col min="9219" max="9219" width="27.42578125" style="242" customWidth="1"/>
    <col min="9220" max="9220" width="28.140625" style="242" customWidth="1"/>
    <col min="9221" max="9221" width="37.5703125" style="242" customWidth="1"/>
    <col min="9222" max="9222" width="27.42578125" style="242" customWidth="1"/>
    <col min="9223" max="9223" width="42.28515625" style="242" customWidth="1"/>
    <col min="9224" max="9224" width="26" style="242" customWidth="1"/>
    <col min="9225" max="9225" width="26.28515625" style="242" customWidth="1"/>
    <col min="9226" max="9226" width="0" style="242" hidden="1" customWidth="1"/>
    <col min="9227" max="9227" width="13.42578125" style="242" customWidth="1"/>
    <col min="9228" max="9228" width="16.7109375" style="242" customWidth="1"/>
    <col min="9229" max="9458" width="11.42578125" style="242"/>
    <col min="9459" max="9459" width="2.28515625" style="242" customWidth="1"/>
    <col min="9460" max="9460" width="9" style="242" customWidth="1"/>
    <col min="9461" max="9461" width="14.42578125" style="242" customWidth="1"/>
    <col min="9462" max="9462" width="37" style="242" customWidth="1"/>
    <col min="9463" max="9463" width="14" style="242" customWidth="1"/>
    <col min="9464" max="9464" width="15" style="242" customWidth="1"/>
    <col min="9465" max="9465" width="14.85546875" style="242" customWidth="1"/>
    <col min="9466" max="9466" width="9.5703125" style="242" customWidth="1"/>
    <col min="9467" max="9467" width="11.7109375" style="242" customWidth="1"/>
    <col min="9468" max="9468" width="14.28515625" style="242" customWidth="1"/>
    <col min="9469" max="9469" width="20.140625" style="242" customWidth="1"/>
    <col min="9470" max="9470" width="25.7109375" style="242" customWidth="1"/>
    <col min="9471" max="9471" width="14.85546875" style="242" customWidth="1"/>
    <col min="9472" max="9472" width="20.140625" style="242" customWidth="1"/>
    <col min="9473" max="9473" width="15.42578125" style="242" customWidth="1"/>
    <col min="9474" max="9474" width="107" style="242" customWidth="1"/>
    <col min="9475" max="9475" width="27.42578125" style="242" customWidth="1"/>
    <col min="9476" max="9476" width="28.140625" style="242" customWidth="1"/>
    <col min="9477" max="9477" width="37.5703125" style="242" customWidth="1"/>
    <col min="9478" max="9478" width="27.42578125" style="242" customWidth="1"/>
    <col min="9479" max="9479" width="42.28515625" style="242" customWidth="1"/>
    <col min="9480" max="9480" width="26" style="242" customWidth="1"/>
    <col min="9481" max="9481" width="26.28515625" style="242" customWidth="1"/>
    <col min="9482" max="9482" width="0" style="242" hidden="1" customWidth="1"/>
    <col min="9483" max="9483" width="13.42578125" style="242" customWidth="1"/>
    <col min="9484" max="9484" width="16.7109375" style="242" customWidth="1"/>
    <col min="9485" max="9714" width="11.42578125" style="242"/>
    <col min="9715" max="9715" width="2.28515625" style="242" customWidth="1"/>
    <col min="9716" max="9716" width="9" style="242" customWidth="1"/>
    <col min="9717" max="9717" width="14.42578125" style="242" customWidth="1"/>
    <col min="9718" max="9718" width="37" style="242" customWidth="1"/>
    <col min="9719" max="9719" width="14" style="242" customWidth="1"/>
    <col min="9720" max="9720" width="15" style="242" customWidth="1"/>
    <col min="9721" max="9721" width="14.85546875" style="242" customWidth="1"/>
    <col min="9722" max="9722" width="9.5703125" style="242" customWidth="1"/>
    <col min="9723" max="9723" width="11.7109375" style="242" customWidth="1"/>
    <col min="9724" max="9724" width="14.28515625" style="242" customWidth="1"/>
    <col min="9725" max="9725" width="20.140625" style="242" customWidth="1"/>
    <col min="9726" max="9726" width="25.7109375" style="242" customWidth="1"/>
    <col min="9727" max="9727" width="14.85546875" style="242" customWidth="1"/>
    <col min="9728" max="9728" width="20.140625" style="242" customWidth="1"/>
    <col min="9729" max="9729" width="15.42578125" style="242" customWidth="1"/>
    <col min="9730" max="9730" width="107" style="242" customWidth="1"/>
    <col min="9731" max="9731" width="27.42578125" style="242" customWidth="1"/>
    <col min="9732" max="9732" width="28.140625" style="242" customWidth="1"/>
    <col min="9733" max="9733" width="37.5703125" style="242" customWidth="1"/>
    <col min="9734" max="9734" width="27.42578125" style="242" customWidth="1"/>
    <col min="9735" max="9735" width="42.28515625" style="242" customWidth="1"/>
    <col min="9736" max="9736" width="26" style="242" customWidth="1"/>
    <col min="9737" max="9737" width="26.28515625" style="242" customWidth="1"/>
    <col min="9738" max="9738" width="0" style="242" hidden="1" customWidth="1"/>
    <col min="9739" max="9739" width="13.42578125" style="242" customWidth="1"/>
    <col min="9740" max="9740" width="16.7109375" style="242" customWidth="1"/>
    <col min="9741" max="9970" width="11.42578125" style="242"/>
    <col min="9971" max="9971" width="2.28515625" style="242" customWidth="1"/>
    <col min="9972" max="9972" width="9" style="242" customWidth="1"/>
    <col min="9973" max="9973" width="14.42578125" style="242" customWidth="1"/>
    <col min="9974" max="9974" width="37" style="242" customWidth="1"/>
    <col min="9975" max="9975" width="14" style="242" customWidth="1"/>
    <col min="9976" max="9976" width="15" style="242" customWidth="1"/>
    <col min="9977" max="9977" width="14.85546875" style="242" customWidth="1"/>
    <col min="9978" max="9978" width="9.5703125" style="242" customWidth="1"/>
    <col min="9979" max="9979" width="11.7109375" style="242" customWidth="1"/>
    <col min="9980" max="9980" width="14.28515625" style="242" customWidth="1"/>
    <col min="9981" max="9981" width="20.140625" style="242" customWidth="1"/>
    <col min="9982" max="9982" width="25.7109375" style="242" customWidth="1"/>
    <col min="9983" max="9983" width="14.85546875" style="242" customWidth="1"/>
    <col min="9984" max="9984" width="20.140625" style="242" customWidth="1"/>
    <col min="9985" max="9985" width="15.42578125" style="242" customWidth="1"/>
    <col min="9986" max="9986" width="107" style="242" customWidth="1"/>
    <col min="9987" max="9987" width="27.42578125" style="242" customWidth="1"/>
    <col min="9988" max="9988" width="28.140625" style="242" customWidth="1"/>
    <col min="9989" max="9989" width="37.5703125" style="242" customWidth="1"/>
    <col min="9990" max="9990" width="27.42578125" style="242" customWidth="1"/>
    <col min="9991" max="9991" width="42.28515625" style="242" customWidth="1"/>
    <col min="9992" max="9992" width="26" style="242" customWidth="1"/>
    <col min="9993" max="9993" width="26.28515625" style="242" customWidth="1"/>
    <col min="9994" max="9994" width="0" style="242" hidden="1" customWidth="1"/>
    <col min="9995" max="9995" width="13.42578125" style="242" customWidth="1"/>
    <col min="9996" max="9996" width="16.7109375" style="242" customWidth="1"/>
    <col min="9997" max="10226" width="11.42578125" style="242"/>
    <col min="10227" max="10227" width="2.28515625" style="242" customWidth="1"/>
    <col min="10228" max="10228" width="9" style="242" customWidth="1"/>
    <col min="10229" max="10229" width="14.42578125" style="242" customWidth="1"/>
    <col min="10230" max="10230" width="37" style="242" customWidth="1"/>
    <col min="10231" max="10231" width="14" style="242" customWidth="1"/>
    <col min="10232" max="10232" width="15" style="242" customWidth="1"/>
    <col min="10233" max="10233" width="14.85546875" style="242" customWidth="1"/>
    <col min="10234" max="10234" width="9.5703125" style="242" customWidth="1"/>
    <col min="10235" max="10235" width="11.7109375" style="242" customWidth="1"/>
    <col min="10236" max="10236" width="14.28515625" style="242" customWidth="1"/>
    <col min="10237" max="10237" width="20.140625" style="242" customWidth="1"/>
    <col min="10238" max="10238" width="25.7109375" style="242" customWidth="1"/>
    <col min="10239" max="10239" width="14.85546875" style="242" customWidth="1"/>
    <col min="10240" max="10240" width="20.140625" style="242" customWidth="1"/>
    <col min="10241" max="10241" width="15.42578125" style="242" customWidth="1"/>
    <col min="10242" max="10242" width="107" style="242" customWidth="1"/>
    <col min="10243" max="10243" width="27.42578125" style="242" customWidth="1"/>
    <col min="10244" max="10244" width="28.140625" style="242" customWidth="1"/>
    <col min="10245" max="10245" width="37.5703125" style="242" customWidth="1"/>
    <col min="10246" max="10246" width="27.42578125" style="242" customWidth="1"/>
    <col min="10247" max="10247" width="42.28515625" style="242" customWidth="1"/>
    <col min="10248" max="10248" width="26" style="242" customWidth="1"/>
    <col min="10249" max="10249" width="26.28515625" style="242" customWidth="1"/>
    <col min="10250" max="10250" width="0" style="242" hidden="1" customWidth="1"/>
    <col min="10251" max="10251" width="13.42578125" style="242" customWidth="1"/>
    <col min="10252" max="10252" width="16.7109375" style="242" customWidth="1"/>
    <col min="10253" max="10482" width="11.42578125" style="242"/>
    <col min="10483" max="10483" width="2.28515625" style="242" customWidth="1"/>
    <col min="10484" max="10484" width="9" style="242" customWidth="1"/>
    <col min="10485" max="10485" width="14.42578125" style="242" customWidth="1"/>
    <col min="10486" max="10486" width="37" style="242" customWidth="1"/>
    <col min="10487" max="10487" width="14" style="242" customWidth="1"/>
    <col min="10488" max="10488" width="15" style="242" customWidth="1"/>
    <col min="10489" max="10489" width="14.85546875" style="242" customWidth="1"/>
    <col min="10490" max="10490" width="9.5703125" style="242" customWidth="1"/>
    <col min="10491" max="10491" width="11.7109375" style="242" customWidth="1"/>
    <col min="10492" max="10492" width="14.28515625" style="242" customWidth="1"/>
    <col min="10493" max="10493" width="20.140625" style="242" customWidth="1"/>
    <col min="10494" max="10494" width="25.7109375" style="242" customWidth="1"/>
    <col min="10495" max="10495" width="14.85546875" style="242" customWidth="1"/>
    <col min="10496" max="10496" width="20.140625" style="242" customWidth="1"/>
    <col min="10497" max="10497" width="15.42578125" style="242" customWidth="1"/>
    <col min="10498" max="10498" width="107" style="242" customWidth="1"/>
    <col min="10499" max="10499" width="27.42578125" style="242" customWidth="1"/>
    <col min="10500" max="10500" width="28.140625" style="242" customWidth="1"/>
    <col min="10501" max="10501" width="37.5703125" style="242" customWidth="1"/>
    <col min="10502" max="10502" width="27.42578125" style="242" customWidth="1"/>
    <col min="10503" max="10503" width="42.28515625" style="242" customWidth="1"/>
    <col min="10504" max="10504" width="26" style="242" customWidth="1"/>
    <col min="10505" max="10505" width="26.28515625" style="242" customWidth="1"/>
    <col min="10506" max="10506" width="0" style="242" hidden="1" customWidth="1"/>
    <col min="10507" max="10507" width="13.42578125" style="242" customWidth="1"/>
    <col min="10508" max="10508" width="16.7109375" style="242" customWidth="1"/>
    <col min="10509" max="10738" width="11.42578125" style="242"/>
    <col min="10739" max="10739" width="2.28515625" style="242" customWidth="1"/>
    <col min="10740" max="10740" width="9" style="242" customWidth="1"/>
    <col min="10741" max="10741" width="14.42578125" style="242" customWidth="1"/>
    <col min="10742" max="10742" width="37" style="242" customWidth="1"/>
    <col min="10743" max="10743" width="14" style="242" customWidth="1"/>
    <col min="10744" max="10744" width="15" style="242" customWidth="1"/>
    <col min="10745" max="10745" width="14.85546875" style="242" customWidth="1"/>
    <col min="10746" max="10746" width="9.5703125" style="242" customWidth="1"/>
    <col min="10747" max="10747" width="11.7109375" style="242" customWidth="1"/>
    <col min="10748" max="10748" width="14.28515625" style="242" customWidth="1"/>
    <col min="10749" max="10749" width="20.140625" style="242" customWidth="1"/>
    <col min="10750" max="10750" width="25.7109375" style="242" customWidth="1"/>
    <col min="10751" max="10751" width="14.85546875" style="242" customWidth="1"/>
    <col min="10752" max="10752" width="20.140625" style="242" customWidth="1"/>
    <col min="10753" max="10753" width="15.42578125" style="242" customWidth="1"/>
    <col min="10754" max="10754" width="107" style="242" customWidth="1"/>
    <col min="10755" max="10755" width="27.42578125" style="242" customWidth="1"/>
    <col min="10756" max="10756" width="28.140625" style="242" customWidth="1"/>
    <col min="10757" max="10757" width="37.5703125" style="242" customWidth="1"/>
    <col min="10758" max="10758" width="27.42578125" style="242" customWidth="1"/>
    <col min="10759" max="10759" width="42.28515625" style="242" customWidth="1"/>
    <col min="10760" max="10760" width="26" style="242" customWidth="1"/>
    <col min="10761" max="10761" width="26.28515625" style="242" customWidth="1"/>
    <col min="10762" max="10762" width="0" style="242" hidden="1" customWidth="1"/>
    <col min="10763" max="10763" width="13.42578125" style="242" customWidth="1"/>
    <col min="10764" max="10764" width="16.7109375" style="242" customWidth="1"/>
    <col min="10765" max="10994" width="11.42578125" style="242"/>
    <col min="10995" max="10995" width="2.28515625" style="242" customWidth="1"/>
    <col min="10996" max="10996" width="9" style="242" customWidth="1"/>
    <col min="10997" max="10997" width="14.42578125" style="242" customWidth="1"/>
    <col min="10998" max="10998" width="37" style="242" customWidth="1"/>
    <col min="10999" max="10999" width="14" style="242" customWidth="1"/>
    <col min="11000" max="11000" width="15" style="242" customWidth="1"/>
    <col min="11001" max="11001" width="14.85546875" style="242" customWidth="1"/>
    <col min="11002" max="11002" width="9.5703125" style="242" customWidth="1"/>
    <col min="11003" max="11003" width="11.7109375" style="242" customWidth="1"/>
    <col min="11004" max="11004" width="14.28515625" style="242" customWidth="1"/>
    <col min="11005" max="11005" width="20.140625" style="242" customWidth="1"/>
    <col min="11006" max="11006" width="25.7109375" style="242" customWidth="1"/>
    <col min="11007" max="11007" width="14.85546875" style="242" customWidth="1"/>
    <col min="11008" max="11008" width="20.140625" style="242" customWidth="1"/>
    <col min="11009" max="11009" width="15.42578125" style="242" customWidth="1"/>
    <col min="11010" max="11010" width="107" style="242" customWidth="1"/>
    <col min="11011" max="11011" width="27.42578125" style="242" customWidth="1"/>
    <col min="11012" max="11012" width="28.140625" style="242" customWidth="1"/>
    <col min="11013" max="11013" width="37.5703125" style="242" customWidth="1"/>
    <col min="11014" max="11014" width="27.42578125" style="242" customWidth="1"/>
    <col min="11015" max="11015" width="42.28515625" style="242" customWidth="1"/>
    <col min="11016" max="11016" width="26" style="242" customWidth="1"/>
    <col min="11017" max="11017" width="26.28515625" style="242" customWidth="1"/>
    <col min="11018" max="11018" width="0" style="242" hidden="1" customWidth="1"/>
    <col min="11019" max="11019" width="13.42578125" style="242" customWidth="1"/>
    <col min="11020" max="11020" width="16.7109375" style="242" customWidth="1"/>
    <col min="11021" max="11250" width="11.42578125" style="242"/>
    <col min="11251" max="11251" width="2.28515625" style="242" customWidth="1"/>
    <col min="11252" max="11252" width="9" style="242" customWidth="1"/>
    <col min="11253" max="11253" width="14.42578125" style="242" customWidth="1"/>
    <col min="11254" max="11254" width="37" style="242" customWidth="1"/>
    <col min="11255" max="11255" width="14" style="242" customWidth="1"/>
    <col min="11256" max="11256" width="15" style="242" customWidth="1"/>
    <col min="11257" max="11257" width="14.85546875" style="242" customWidth="1"/>
    <col min="11258" max="11258" width="9.5703125" style="242" customWidth="1"/>
    <col min="11259" max="11259" width="11.7109375" style="242" customWidth="1"/>
    <col min="11260" max="11260" width="14.28515625" style="242" customWidth="1"/>
    <col min="11261" max="11261" width="20.140625" style="242" customWidth="1"/>
    <col min="11262" max="11262" width="25.7109375" style="242" customWidth="1"/>
    <col min="11263" max="11263" width="14.85546875" style="242" customWidth="1"/>
    <col min="11264" max="11264" width="20.140625" style="242" customWidth="1"/>
    <col min="11265" max="11265" width="15.42578125" style="242" customWidth="1"/>
    <col min="11266" max="11266" width="107" style="242" customWidth="1"/>
    <col min="11267" max="11267" width="27.42578125" style="242" customWidth="1"/>
    <col min="11268" max="11268" width="28.140625" style="242" customWidth="1"/>
    <col min="11269" max="11269" width="37.5703125" style="242" customWidth="1"/>
    <col min="11270" max="11270" width="27.42578125" style="242" customWidth="1"/>
    <col min="11271" max="11271" width="42.28515625" style="242" customWidth="1"/>
    <col min="11272" max="11272" width="26" style="242" customWidth="1"/>
    <col min="11273" max="11273" width="26.28515625" style="242" customWidth="1"/>
    <col min="11274" max="11274" width="0" style="242" hidden="1" customWidth="1"/>
    <col min="11275" max="11275" width="13.42578125" style="242" customWidth="1"/>
    <col min="11276" max="11276" width="16.7109375" style="242" customWidth="1"/>
    <col min="11277" max="11506" width="11.42578125" style="242"/>
    <col min="11507" max="11507" width="2.28515625" style="242" customWidth="1"/>
    <col min="11508" max="11508" width="9" style="242" customWidth="1"/>
    <col min="11509" max="11509" width="14.42578125" style="242" customWidth="1"/>
    <col min="11510" max="11510" width="37" style="242" customWidth="1"/>
    <col min="11511" max="11511" width="14" style="242" customWidth="1"/>
    <col min="11512" max="11512" width="15" style="242" customWidth="1"/>
    <col min="11513" max="11513" width="14.85546875" style="242" customWidth="1"/>
    <col min="11514" max="11514" width="9.5703125" style="242" customWidth="1"/>
    <col min="11515" max="11515" width="11.7109375" style="242" customWidth="1"/>
    <col min="11516" max="11516" width="14.28515625" style="242" customWidth="1"/>
    <col min="11517" max="11517" width="20.140625" style="242" customWidth="1"/>
    <col min="11518" max="11518" width="25.7109375" style="242" customWidth="1"/>
    <col min="11519" max="11519" width="14.85546875" style="242" customWidth="1"/>
    <col min="11520" max="11520" width="20.140625" style="242" customWidth="1"/>
    <col min="11521" max="11521" width="15.42578125" style="242" customWidth="1"/>
    <col min="11522" max="11522" width="107" style="242" customWidth="1"/>
    <col min="11523" max="11523" width="27.42578125" style="242" customWidth="1"/>
    <col min="11524" max="11524" width="28.140625" style="242" customWidth="1"/>
    <col min="11525" max="11525" width="37.5703125" style="242" customWidth="1"/>
    <col min="11526" max="11526" width="27.42578125" style="242" customWidth="1"/>
    <col min="11527" max="11527" width="42.28515625" style="242" customWidth="1"/>
    <col min="11528" max="11528" width="26" style="242" customWidth="1"/>
    <col min="11529" max="11529" width="26.28515625" style="242" customWidth="1"/>
    <col min="11530" max="11530" width="0" style="242" hidden="1" customWidth="1"/>
    <col min="11531" max="11531" width="13.42578125" style="242" customWidth="1"/>
    <col min="11532" max="11532" width="16.7109375" style="242" customWidth="1"/>
    <col min="11533" max="11762" width="11.42578125" style="242"/>
    <col min="11763" max="11763" width="2.28515625" style="242" customWidth="1"/>
    <col min="11764" max="11764" width="9" style="242" customWidth="1"/>
    <col min="11765" max="11765" width="14.42578125" style="242" customWidth="1"/>
    <col min="11766" max="11766" width="37" style="242" customWidth="1"/>
    <col min="11767" max="11767" width="14" style="242" customWidth="1"/>
    <col min="11768" max="11768" width="15" style="242" customWidth="1"/>
    <col min="11769" max="11769" width="14.85546875" style="242" customWidth="1"/>
    <col min="11770" max="11770" width="9.5703125" style="242" customWidth="1"/>
    <col min="11771" max="11771" width="11.7109375" style="242" customWidth="1"/>
    <col min="11772" max="11772" width="14.28515625" style="242" customWidth="1"/>
    <col min="11773" max="11773" width="20.140625" style="242" customWidth="1"/>
    <col min="11774" max="11774" width="25.7109375" style="242" customWidth="1"/>
    <col min="11775" max="11775" width="14.85546875" style="242" customWidth="1"/>
    <col min="11776" max="11776" width="20.140625" style="242" customWidth="1"/>
    <col min="11777" max="11777" width="15.42578125" style="242" customWidth="1"/>
    <col min="11778" max="11778" width="107" style="242" customWidth="1"/>
    <col min="11779" max="11779" width="27.42578125" style="242" customWidth="1"/>
    <col min="11780" max="11780" width="28.140625" style="242" customWidth="1"/>
    <col min="11781" max="11781" width="37.5703125" style="242" customWidth="1"/>
    <col min="11782" max="11782" width="27.42578125" style="242" customWidth="1"/>
    <col min="11783" max="11783" width="42.28515625" style="242" customWidth="1"/>
    <col min="11784" max="11784" width="26" style="242" customWidth="1"/>
    <col min="11785" max="11785" width="26.28515625" style="242" customWidth="1"/>
    <col min="11786" max="11786" width="0" style="242" hidden="1" customWidth="1"/>
    <col min="11787" max="11787" width="13.42578125" style="242" customWidth="1"/>
    <col min="11788" max="11788" width="16.7109375" style="242" customWidth="1"/>
    <col min="11789" max="12018" width="11.42578125" style="242"/>
    <col min="12019" max="12019" width="2.28515625" style="242" customWidth="1"/>
    <col min="12020" max="12020" width="9" style="242" customWidth="1"/>
    <col min="12021" max="12021" width="14.42578125" style="242" customWidth="1"/>
    <col min="12022" max="12022" width="37" style="242" customWidth="1"/>
    <col min="12023" max="12023" width="14" style="242" customWidth="1"/>
    <col min="12024" max="12024" width="15" style="242" customWidth="1"/>
    <col min="12025" max="12025" width="14.85546875" style="242" customWidth="1"/>
    <col min="12026" max="12026" width="9.5703125" style="242" customWidth="1"/>
    <col min="12027" max="12027" width="11.7109375" style="242" customWidth="1"/>
    <col min="12028" max="12028" width="14.28515625" style="242" customWidth="1"/>
    <col min="12029" max="12029" width="20.140625" style="242" customWidth="1"/>
    <col min="12030" max="12030" width="25.7109375" style="242" customWidth="1"/>
    <col min="12031" max="12031" width="14.85546875" style="242" customWidth="1"/>
    <col min="12032" max="12032" width="20.140625" style="242" customWidth="1"/>
    <col min="12033" max="12033" width="15.42578125" style="242" customWidth="1"/>
    <col min="12034" max="12034" width="107" style="242" customWidth="1"/>
    <col min="12035" max="12035" width="27.42578125" style="242" customWidth="1"/>
    <col min="12036" max="12036" width="28.140625" style="242" customWidth="1"/>
    <col min="12037" max="12037" width="37.5703125" style="242" customWidth="1"/>
    <col min="12038" max="12038" width="27.42578125" style="242" customWidth="1"/>
    <col min="12039" max="12039" width="42.28515625" style="242" customWidth="1"/>
    <col min="12040" max="12040" width="26" style="242" customWidth="1"/>
    <col min="12041" max="12041" width="26.28515625" style="242" customWidth="1"/>
    <col min="12042" max="12042" width="0" style="242" hidden="1" customWidth="1"/>
    <col min="12043" max="12043" width="13.42578125" style="242" customWidth="1"/>
    <col min="12044" max="12044" width="16.7109375" style="242" customWidth="1"/>
    <col min="12045" max="12274" width="11.42578125" style="242"/>
    <col min="12275" max="12275" width="2.28515625" style="242" customWidth="1"/>
    <col min="12276" max="12276" width="9" style="242" customWidth="1"/>
    <col min="12277" max="12277" width="14.42578125" style="242" customWidth="1"/>
    <col min="12278" max="12278" width="37" style="242" customWidth="1"/>
    <col min="12279" max="12279" width="14" style="242" customWidth="1"/>
    <col min="12280" max="12280" width="15" style="242" customWidth="1"/>
    <col min="12281" max="12281" width="14.85546875" style="242" customWidth="1"/>
    <col min="12282" max="12282" width="9.5703125" style="242" customWidth="1"/>
    <col min="12283" max="12283" width="11.7109375" style="242" customWidth="1"/>
    <col min="12284" max="12284" width="14.28515625" style="242" customWidth="1"/>
    <col min="12285" max="12285" width="20.140625" style="242" customWidth="1"/>
    <col min="12286" max="12286" width="25.7109375" style="242" customWidth="1"/>
    <col min="12287" max="12287" width="14.85546875" style="242" customWidth="1"/>
    <col min="12288" max="12288" width="20.140625" style="242" customWidth="1"/>
    <col min="12289" max="12289" width="15.42578125" style="242" customWidth="1"/>
    <col min="12290" max="12290" width="107" style="242" customWidth="1"/>
    <col min="12291" max="12291" width="27.42578125" style="242" customWidth="1"/>
    <col min="12292" max="12292" width="28.140625" style="242" customWidth="1"/>
    <col min="12293" max="12293" width="37.5703125" style="242" customWidth="1"/>
    <col min="12294" max="12294" width="27.42578125" style="242" customWidth="1"/>
    <col min="12295" max="12295" width="42.28515625" style="242" customWidth="1"/>
    <col min="12296" max="12296" width="26" style="242" customWidth="1"/>
    <col min="12297" max="12297" width="26.28515625" style="242" customWidth="1"/>
    <col min="12298" max="12298" width="0" style="242" hidden="1" customWidth="1"/>
    <col min="12299" max="12299" width="13.42578125" style="242" customWidth="1"/>
    <col min="12300" max="12300" width="16.7109375" style="242" customWidth="1"/>
    <col min="12301" max="12530" width="11.42578125" style="242"/>
    <col min="12531" max="12531" width="2.28515625" style="242" customWidth="1"/>
    <col min="12532" max="12532" width="9" style="242" customWidth="1"/>
    <col min="12533" max="12533" width="14.42578125" style="242" customWidth="1"/>
    <col min="12534" max="12534" width="37" style="242" customWidth="1"/>
    <col min="12535" max="12535" width="14" style="242" customWidth="1"/>
    <col min="12536" max="12536" width="15" style="242" customWidth="1"/>
    <col min="12537" max="12537" width="14.85546875" style="242" customWidth="1"/>
    <col min="12538" max="12538" width="9.5703125" style="242" customWidth="1"/>
    <col min="12539" max="12539" width="11.7109375" style="242" customWidth="1"/>
    <col min="12540" max="12540" width="14.28515625" style="242" customWidth="1"/>
    <col min="12541" max="12541" width="20.140625" style="242" customWidth="1"/>
    <col min="12542" max="12542" width="25.7109375" style="242" customWidth="1"/>
    <col min="12543" max="12543" width="14.85546875" style="242" customWidth="1"/>
    <col min="12544" max="12544" width="20.140625" style="242" customWidth="1"/>
    <col min="12545" max="12545" width="15.42578125" style="242" customWidth="1"/>
    <col min="12546" max="12546" width="107" style="242" customWidth="1"/>
    <col min="12547" max="12547" width="27.42578125" style="242" customWidth="1"/>
    <col min="12548" max="12548" width="28.140625" style="242" customWidth="1"/>
    <col min="12549" max="12549" width="37.5703125" style="242" customWidth="1"/>
    <col min="12550" max="12550" width="27.42578125" style="242" customWidth="1"/>
    <col min="12551" max="12551" width="42.28515625" style="242" customWidth="1"/>
    <col min="12552" max="12552" width="26" style="242" customWidth="1"/>
    <col min="12553" max="12553" width="26.28515625" style="242" customWidth="1"/>
    <col min="12554" max="12554" width="0" style="242" hidden="1" customWidth="1"/>
    <col min="12555" max="12555" width="13.42578125" style="242" customWidth="1"/>
    <col min="12556" max="12556" width="16.7109375" style="242" customWidth="1"/>
    <col min="12557" max="12786" width="11.42578125" style="242"/>
    <col min="12787" max="12787" width="2.28515625" style="242" customWidth="1"/>
    <col min="12788" max="12788" width="9" style="242" customWidth="1"/>
    <col min="12789" max="12789" width="14.42578125" style="242" customWidth="1"/>
    <col min="12790" max="12790" width="37" style="242" customWidth="1"/>
    <col min="12791" max="12791" width="14" style="242" customWidth="1"/>
    <col min="12792" max="12792" width="15" style="242" customWidth="1"/>
    <col min="12793" max="12793" width="14.85546875" style="242" customWidth="1"/>
    <col min="12794" max="12794" width="9.5703125" style="242" customWidth="1"/>
    <col min="12795" max="12795" width="11.7109375" style="242" customWidth="1"/>
    <col min="12796" max="12796" width="14.28515625" style="242" customWidth="1"/>
    <col min="12797" max="12797" width="20.140625" style="242" customWidth="1"/>
    <col min="12798" max="12798" width="25.7109375" style="242" customWidth="1"/>
    <col min="12799" max="12799" width="14.85546875" style="242" customWidth="1"/>
    <col min="12800" max="12800" width="20.140625" style="242" customWidth="1"/>
    <col min="12801" max="12801" width="15.42578125" style="242" customWidth="1"/>
    <col min="12802" max="12802" width="107" style="242" customWidth="1"/>
    <col min="12803" max="12803" width="27.42578125" style="242" customWidth="1"/>
    <col min="12804" max="12804" width="28.140625" style="242" customWidth="1"/>
    <col min="12805" max="12805" width="37.5703125" style="242" customWidth="1"/>
    <col min="12806" max="12806" width="27.42578125" style="242" customWidth="1"/>
    <col min="12807" max="12807" width="42.28515625" style="242" customWidth="1"/>
    <col min="12808" max="12808" width="26" style="242" customWidth="1"/>
    <col min="12809" max="12809" width="26.28515625" style="242" customWidth="1"/>
    <col min="12810" max="12810" width="0" style="242" hidden="1" customWidth="1"/>
    <col min="12811" max="12811" width="13.42578125" style="242" customWidth="1"/>
    <col min="12812" max="12812" width="16.7109375" style="242" customWidth="1"/>
    <col min="12813" max="13042" width="11.42578125" style="242"/>
    <col min="13043" max="13043" width="2.28515625" style="242" customWidth="1"/>
    <col min="13044" max="13044" width="9" style="242" customWidth="1"/>
    <col min="13045" max="13045" width="14.42578125" style="242" customWidth="1"/>
    <col min="13046" max="13046" width="37" style="242" customWidth="1"/>
    <col min="13047" max="13047" width="14" style="242" customWidth="1"/>
    <col min="13048" max="13048" width="15" style="242" customWidth="1"/>
    <col min="13049" max="13049" width="14.85546875" style="242" customWidth="1"/>
    <col min="13050" max="13050" width="9.5703125" style="242" customWidth="1"/>
    <col min="13051" max="13051" width="11.7109375" style="242" customWidth="1"/>
    <col min="13052" max="13052" width="14.28515625" style="242" customWidth="1"/>
    <col min="13053" max="13053" width="20.140625" style="242" customWidth="1"/>
    <col min="13054" max="13054" width="25.7109375" style="242" customWidth="1"/>
    <col min="13055" max="13055" width="14.85546875" style="242" customWidth="1"/>
    <col min="13056" max="13056" width="20.140625" style="242" customWidth="1"/>
    <col min="13057" max="13057" width="15.42578125" style="242" customWidth="1"/>
    <col min="13058" max="13058" width="107" style="242" customWidth="1"/>
    <col min="13059" max="13059" width="27.42578125" style="242" customWidth="1"/>
    <col min="13060" max="13060" width="28.140625" style="242" customWidth="1"/>
    <col min="13061" max="13061" width="37.5703125" style="242" customWidth="1"/>
    <col min="13062" max="13062" width="27.42578125" style="242" customWidth="1"/>
    <col min="13063" max="13063" width="42.28515625" style="242" customWidth="1"/>
    <col min="13064" max="13064" width="26" style="242" customWidth="1"/>
    <col min="13065" max="13065" width="26.28515625" style="242" customWidth="1"/>
    <col min="13066" max="13066" width="0" style="242" hidden="1" customWidth="1"/>
    <col min="13067" max="13067" width="13.42578125" style="242" customWidth="1"/>
    <col min="13068" max="13068" width="16.7109375" style="242" customWidth="1"/>
    <col min="13069" max="13298" width="11.42578125" style="242"/>
    <col min="13299" max="13299" width="2.28515625" style="242" customWidth="1"/>
    <col min="13300" max="13300" width="9" style="242" customWidth="1"/>
    <col min="13301" max="13301" width="14.42578125" style="242" customWidth="1"/>
    <col min="13302" max="13302" width="37" style="242" customWidth="1"/>
    <col min="13303" max="13303" width="14" style="242" customWidth="1"/>
    <col min="13304" max="13304" width="15" style="242" customWidth="1"/>
    <col min="13305" max="13305" width="14.85546875" style="242" customWidth="1"/>
    <col min="13306" max="13306" width="9.5703125" style="242" customWidth="1"/>
    <col min="13307" max="13307" width="11.7109375" style="242" customWidth="1"/>
    <col min="13308" max="13308" width="14.28515625" style="242" customWidth="1"/>
    <col min="13309" max="13309" width="20.140625" style="242" customWidth="1"/>
    <col min="13310" max="13310" width="25.7109375" style="242" customWidth="1"/>
    <col min="13311" max="13311" width="14.85546875" style="242" customWidth="1"/>
    <col min="13312" max="13312" width="20.140625" style="242" customWidth="1"/>
    <col min="13313" max="13313" width="15.42578125" style="242" customWidth="1"/>
    <col min="13314" max="13314" width="107" style="242" customWidth="1"/>
    <col min="13315" max="13315" width="27.42578125" style="242" customWidth="1"/>
    <col min="13316" max="13316" width="28.140625" style="242" customWidth="1"/>
    <col min="13317" max="13317" width="37.5703125" style="242" customWidth="1"/>
    <col min="13318" max="13318" width="27.42578125" style="242" customWidth="1"/>
    <col min="13319" max="13319" width="42.28515625" style="242" customWidth="1"/>
    <col min="13320" max="13320" width="26" style="242" customWidth="1"/>
    <col min="13321" max="13321" width="26.28515625" style="242" customWidth="1"/>
    <col min="13322" max="13322" width="0" style="242" hidden="1" customWidth="1"/>
    <col min="13323" max="13323" width="13.42578125" style="242" customWidth="1"/>
    <col min="13324" max="13324" width="16.7109375" style="242" customWidth="1"/>
    <col min="13325" max="13554" width="11.42578125" style="242"/>
    <col min="13555" max="13555" width="2.28515625" style="242" customWidth="1"/>
    <col min="13556" max="13556" width="9" style="242" customWidth="1"/>
    <col min="13557" max="13557" width="14.42578125" style="242" customWidth="1"/>
    <col min="13558" max="13558" width="37" style="242" customWidth="1"/>
    <col min="13559" max="13559" width="14" style="242" customWidth="1"/>
    <col min="13560" max="13560" width="15" style="242" customWidth="1"/>
    <col min="13561" max="13561" width="14.85546875" style="242" customWidth="1"/>
    <col min="13562" max="13562" width="9.5703125" style="242" customWidth="1"/>
    <col min="13563" max="13563" width="11.7109375" style="242" customWidth="1"/>
    <col min="13564" max="13564" width="14.28515625" style="242" customWidth="1"/>
    <col min="13565" max="13565" width="20.140625" style="242" customWidth="1"/>
    <col min="13566" max="13566" width="25.7109375" style="242" customWidth="1"/>
    <col min="13567" max="13567" width="14.85546875" style="242" customWidth="1"/>
    <col min="13568" max="13568" width="20.140625" style="242" customWidth="1"/>
    <col min="13569" max="13569" width="15.42578125" style="242" customWidth="1"/>
    <col min="13570" max="13570" width="107" style="242" customWidth="1"/>
    <col min="13571" max="13571" width="27.42578125" style="242" customWidth="1"/>
    <col min="13572" max="13572" width="28.140625" style="242" customWidth="1"/>
    <col min="13573" max="13573" width="37.5703125" style="242" customWidth="1"/>
    <col min="13574" max="13574" width="27.42578125" style="242" customWidth="1"/>
    <col min="13575" max="13575" width="42.28515625" style="242" customWidth="1"/>
    <col min="13576" max="13576" width="26" style="242" customWidth="1"/>
    <col min="13577" max="13577" width="26.28515625" style="242" customWidth="1"/>
    <col min="13578" max="13578" width="0" style="242" hidden="1" customWidth="1"/>
    <col min="13579" max="13579" width="13.42578125" style="242" customWidth="1"/>
    <col min="13580" max="13580" width="16.7109375" style="242" customWidth="1"/>
    <col min="13581" max="13810" width="11.42578125" style="242"/>
    <col min="13811" max="13811" width="2.28515625" style="242" customWidth="1"/>
    <col min="13812" max="13812" width="9" style="242" customWidth="1"/>
    <col min="13813" max="13813" width="14.42578125" style="242" customWidth="1"/>
    <col min="13814" max="13814" width="37" style="242" customWidth="1"/>
    <col min="13815" max="13815" width="14" style="242" customWidth="1"/>
    <col min="13816" max="13816" width="15" style="242" customWidth="1"/>
    <col min="13817" max="13817" width="14.85546875" style="242" customWidth="1"/>
    <col min="13818" max="13818" width="9.5703125" style="242" customWidth="1"/>
    <col min="13819" max="13819" width="11.7109375" style="242" customWidth="1"/>
    <col min="13820" max="13820" width="14.28515625" style="242" customWidth="1"/>
    <col min="13821" max="13821" width="20.140625" style="242" customWidth="1"/>
    <col min="13822" max="13822" width="25.7109375" style="242" customWidth="1"/>
    <col min="13823" max="13823" width="14.85546875" style="242" customWidth="1"/>
    <col min="13824" max="13824" width="20.140625" style="242" customWidth="1"/>
    <col min="13825" max="13825" width="15.42578125" style="242" customWidth="1"/>
    <col min="13826" max="13826" width="107" style="242" customWidth="1"/>
    <col min="13827" max="13827" width="27.42578125" style="242" customWidth="1"/>
    <col min="13828" max="13828" width="28.140625" style="242" customWidth="1"/>
    <col min="13829" max="13829" width="37.5703125" style="242" customWidth="1"/>
    <col min="13830" max="13830" width="27.42578125" style="242" customWidth="1"/>
    <col min="13831" max="13831" width="42.28515625" style="242" customWidth="1"/>
    <col min="13832" max="13832" width="26" style="242" customWidth="1"/>
    <col min="13833" max="13833" width="26.28515625" style="242" customWidth="1"/>
    <col min="13834" max="13834" width="0" style="242" hidden="1" customWidth="1"/>
    <col min="13835" max="13835" width="13.42578125" style="242" customWidth="1"/>
    <col min="13836" max="13836" width="16.7109375" style="242" customWidth="1"/>
    <col min="13837" max="14066" width="11.42578125" style="242"/>
    <col min="14067" max="14067" width="2.28515625" style="242" customWidth="1"/>
    <col min="14068" max="14068" width="9" style="242" customWidth="1"/>
    <col min="14069" max="14069" width="14.42578125" style="242" customWidth="1"/>
    <col min="14070" max="14070" width="37" style="242" customWidth="1"/>
    <col min="14071" max="14071" width="14" style="242" customWidth="1"/>
    <col min="14072" max="14072" width="15" style="242" customWidth="1"/>
    <col min="14073" max="14073" width="14.85546875" style="242" customWidth="1"/>
    <col min="14074" max="14074" width="9.5703125" style="242" customWidth="1"/>
    <col min="14075" max="14075" width="11.7109375" style="242" customWidth="1"/>
    <col min="14076" max="14076" width="14.28515625" style="242" customWidth="1"/>
    <col min="14077" max="14077" width="20.140625" style="242" customWidth="1"/>
    <col min="14078" max="14078" width="25.7109375" style="242" customWidth="1"/>
    <col min="14079" max="14079" width="14.85546875" style="242" customWidth="1"/>
    <col min="14080" max="14080" width="20.140625" style="242" customWidth="1"/>
    <col min="14081" max="14081" width="15.42578125" style="242" customWidth="1"/>
    <col min="14082" max="14082" width="107" style="242" customWidth="1"/>
    <col min="14083" max="14083" width="27.42578125" style="242" customWidth="1"/>
    <col min="14084" max="14084" width="28.140625" style="242" customWidth="1"/>
    <col min="14085" max="14085" width="37.5703125" style="242" customWidth="1"/>
    <col min="14086" max="14086" width="27.42578125" style="242" customWidth="1"/>
    <col min="14087" max="14087" width="42.28515625" style="242" customWidth="1"/>
    <col min="14088" max="14088" width="26" style="242" customWidth="1"/>
    <col min="14089" max="14089" width="26.28515625" style="242" customWidth="1"/>
    <col min="14090" max="14090" width="0" style="242" hidden="1" customWidth="1"/>
    <col min="14091" max="14091" width="13.42578125" style="242" customWidth="1"/>
    <col min="14092" max="14092" width="16.7109375" style="242" customWidth="1"/>
    <col min="14093" max="14322" width="11.42578125" style="242"/>
    <col min="14323" max="14323" width="2.28515625" style="242" customWidth="1"/>
    <col min="14324" max="14324" width="9" style="242" customWidth="1"/>
    <col min="14325" max="14325" width="14.42578125" style="242" customWidth="1"/>
    <col min="14326" max="14326" width="37" style="242" customWidth="1"/>
    <col min="14327" max="14327" width="14" style="242" customWidth="1"/>
    <col min="14328" max="14328" width="15" style="242" customWidth="1"/>
    <col min="14329" max="14329" width="14.85546875" style="242" customWidth="1"/>
    <col min="14330" max="14330" width="9.5703125" style="242" customWidth="1"/>
    <col min="14331" max="14331" width="11.7109375" style="242" customWidth="1"/>
    <col min="14332" max="14332" width="14.28515625" style="242" customWidth="1"/>
    <col min="14333" max="14333" width="20.140625" style="242" customWidth="1"/>
    <col min="14334" max="14334" width="25.7109375" style="242" customWidth="1"/>
    <col min="14335" max="14335" width="14.85546875" style="242" customWidth="1"/>
    <col min="14336" max="14336" width="20.140625" style="242" customWidth="1"/>
    <col min="14337" max="14337" width="15.42578125" style="242" customWidth="1"/>
    <col min="14338" max="14338" width="107" style="242" customWidth="1"/>
    <col min="14339" max="14339" width="27.42578125" style="242" customWidth="1"/>
    <col min="14340" max="14340" width="28.140625" style="242" customWidth="1"/>
    <col min="14341" max="14341" width="37.5703125" style="242" customWidth="1"/>
    <col min="14342" max="14342" width="27.42578125" style="242" customWidth="1"/>
    <col min="14343" max="14343" width="42.28515625" style="242" customWidth="1"/>
    <col min="14344" max="14344" width="26" style="242" customWidth="1"/>
    <col min="14345" max="14345" width="26.28515625" style="242" customWidth="1"/>
    <col min="14346" max="14346" width="0" style="242" hidden="1" customWidth="1"/>
    <col min="14347" max="14347" width="13.42578125" style="242" customWidth="1"/>
    <col min="14348" max="14348" width="16.7109375" style="242" customWidth="1"/>
    <col min="14349" max="14578" width="11.42578125" style="242"/>
    <col min="14579" max="14579" width="2.28515625" style="242" customWidth="1"/>
    <col min="14580" max="14580" width="9" style="242" customWidth="1"/>
    <col min="14581" max="14581" width="14.42578125" style="242" customWidth="1"/>
    <col min="14582" max="14582" width="37" style="242" customWidth="1"/>
    <col min="14583" max="14583" width="14" style="242" customWidth="1"/>
    <col min="14584" max="14584" width="15" style="242" customWidth="1"/>
    <col min="14585" max="14585" width="14.85546875" style="242" customWidth="1"/>
    <col min="14586" max="14586" width="9.5703125" style="242" customWidth="1"/>
    <col min="14587" max="14587" width="11.7109375" style="242" customWidth="1"/>
    <col min="14588" max="14588" width="14.28515625" style="242" customWidth="1"/>
    <col min="14589" max="14589" width="20.140625" style="242" customWidth="1"/>
    <col min="14590" max="14590" width="25.7109375" style="242" customWidth="1"/>
    <col min="14591" max="14591" width="14.85546875" style="242" customWidth="1"/>
    <col min="14592" max="14592" width="20.140625" style="242" customWidth="1"/>
    <col min="14593" max="14593" width="15.42578125" style="242" customWidth="1"/>
    <col min="14594" max="14594" width="107" style="242" customWidth="1"/>
    <col min="14595" max="14595" width="27.42578125" style="242" customWidth="1"/>
    <col min="14596" max="14596" width="28.140625" style="242" customWidth="1"/>
    <col min="14597" max="14597" width="37.5703125" style="242" customWidth="1"/>
    <col min="14598" max="14598" width="27.42578125" style="242" customWidth="1"/>
    <col min="14599" max="14599" width="42.28515625" style="242" customWidth="1"/>
    <col min="14600" max="14600" width="26" style="242" customWidth="1"/>
    <col min="14601" max="14601" width="26.28515625" style="242" customWidth="1"/>
    <col min="14602" max="14602" width="0" style="242" hidden="1" customWidth="1"/>
    <col min="14603" max="14603" width="13.42578125" style="242" customWidth="1"/>
    <col min="14604" max="14604" width="16.7109375" style="242" customWidth="1"/>
    <col min="14605" max="14834" width="11.42578125" style="242"/>
    <col min="14835" max="14835" width="2.28515625" style="242" customWidth="1"/>
    <col min="14836" max="14836" width="9" style="242" customWidth="1"/>
    <col min="14837" max="14837" width="14.42578125" style="242" customWidth="1"/>
    <col min="14838" max="14838" width="37" style="242" customWidth="1"/>
    <col min="14839" max="14839" width="14" style="242" customWidth="1"/>
    <col min="14840" max="14840" width="15" style="242" customWidth="1"/>
    <col min="14841" max="14841" width="14.85546875" style="242" customWidth="1"/>
    <col min="14842" max="14842" width="9.5703125" style="242" customWidth="1"/>
    <col min="14843" max="14843" width="11.7109375" style="242" customWidth="1"/>
    <col min="14844" max="14844" width="14.28515625" style="242" customWidth="1"/>
    <col min="14845" max="14845" width="20.140625" style="242" customWidth="1"/>
    <col min="14846" max="14846" width="25.7109375" style="242" customWidth="1"/>
    <col min="14847" max="14847" width="14.85546875" style="242" customWidth="1"/>
    <col min="14848" max="14848" width="20.140625" style="242" customWidth="1"/>
    <col min="14849" max="14849" width="15.42578125" style="242" customWidth="1"/>
    <col min="14850" max="14850" width="107" style="242" customWidth="1"/>
    <col min="14851" max="14851" width="27.42578125" style="242" customWidth="1"/>
    <col min="14852" max="14852" width="28.140625" style="242" customWidth="1"/>
    <col min="14853" max="14853" width="37.5703125" style="242" customWidth="1"/>
    <col min="14854" max="14854" width="27.42578125" style="242" customWidth="1"/>
    <col min="14855" max="14855" width="42.28515625" style="242" customWidth="1"/>
    <col min="14856" max="14856" width="26" style="242" customWidth="1"/>
    <col min="14857" max="14857" width="26.28515625" style="242" customWidth="1"/>
    <col min="14858" max="14858" width="0" style="242" hidden="1" customWidth="1"/>
    <col min="14859" max="14859" width="13.42578125" style="242" customWidth="1"/>
    <col min="14860" max="14860" width="16.7109375" style="242" customWidth="1"/>
    <col min="14861" max="15090" width="11.42578125" style="242"/>
    <col min="15091" max="15091" width="2.28515625" style="242" customWidth="1"/>
    <col min="15092" max="15092" width="9" style="242" customWidth="1"/>
    <col min="15093" max="15093" width="14.42578125" style="242" customWidth="1"/>
    <col min="15094" max="15094" width="37" style="242" customWidth="1"/>
    <col min="15095" max="15095" width="14" style="242" customWidth="1"/>
    <col min="15096" max="15096" width="15" style="242" customWidth="1"/>
    <col min="15097" max="15097" width="14.85546875" style="242" customWidth="1"/>
    <col min="15098" max="15098" width="9.5703125" style="242" customWidth="1"/>
    <col min="15099" max="15099" width="11.7109375" style="242" customWidth="1"/>
    <col min="15100" max="15100" width="14.28515625" style="242" customWidth="1"/>
    <col min="15101" max="15101" width="20.140625" style="242" customWidth="1"/>
    <col min="15102" max="15102" width="25.7109375" style="242" customWidth="1"/>
    <col min="15103" max="15103" width="14.85546875" style="242" customWidth="1"/>
    <col min="15104" max="15104" width="20.140625" style="242" customWidth="1"/>
    <col min="15105" max="15105" width="15.42578125" style="242" customWidth="1"/>
    <col min="15106" max="15106" width="107" style="242" customWidth="1"/>
    <col min="15107" max="15107" width="27.42578125" style="242" customWidth="1"/>
    <col min="15108" max="15108" width="28.140625" style="242" customWidth="1"/>
    <col min="15109" max="15109" width="37.5703125" style="242" customWidth="1"/>
    <col min="15110" max="15110" width="27.42578125" style="242" customWidth="1"/>
    <col min="15111" max="15111" width="42.28515625" style="242" customWidth="1"/>
    <col min="15112" max="15112" width="26" style="242" customWidth="1"/>
    <col min="15113" max="15113" width="26.28515625" style="242" customWidth="1"/>
    <col min="15114" max="15114" width="0" style="242" hidden="1" customWidth="1"/>
    <col min="15115" max="15115" width="13.42578125" style="242" customWidth="1"/>
    <col min="15116" max="15116" width="16.7109375" style="242" customWidth="1"/>
    <col min="15117" max="15346" width="11.42578125" style="242"/>
    <col min="15347" max="15347" width="2.28515625" style="242" customWidth="1"/>
    <col min="15348" max="15348" width="9" style="242" customWidth="1"/>
    <col min="15349" max="15349" width="14.42578125" style="242" customWidth="1"/>
    <col min="15350" max="15350" width="37" style="242" customWidth="1"/>
    <col min="15351" max="15351" width="14" style="242" customWidth="1"/>
    <col min="15352" max="15352" width="15" style="242" customWidth="1"/>
    <col min="15353" max="15353" width="14.85546875" style="242" customWidth="1"/>
    <col min="15354" max="15354" width="9.5703125" style="242" customWidth="1"/>
    <col min="15355" max="15355" width="11.7109375" style="242" customWidth="1"/>
    <col min="15356" max="15356" width="14.28515625" style="242" customWidth="1"/>
    <col min="15357" max="15357" width="20.140625" style="242" customWidth="1"/>
    <col min="15358" max="15358" width="25.7109375" style="242" customWidth="1"/>
    <col min="15359" max="15359" width="14.85546875" style="242" customWidth="1"/>
    <col min="15360" max="15360" width="20.140625" style="242" customWidth="1"/>
    <col min="15361" max="15361" width="15.42578125" style="242" customWidth="1"/>
    <col min="15362" max="15362" width="107" style="242" customWidth="1"/>
    <col min="15363" max="15363" width="27.42578125" style="242" customWidth="1"/>
    <col min="15364" max="15364" width="28.140625" style="242" customWidth="1"/>
    <col min="15365" max="15365" width="37.5703125" style="242" customWidth="1"/>
    <col min="15366" max="15366" width="27.42578125" style="242" customWidth="1"/>
    <col min="15367" max="15367" width="42.28515625" style="242" customWidth="1"/>
    <col min="15368" max="15368" width="26" style="242" customWidth="1"/>
    <col min="15369" max="15369" width="26.28515625" style="242" customWidth="1"/>
    <col min="15370" max="15370" width="0" style="242" hidden="1" customWidth="1"/>
    <col min="15371" max="15371" width="13.42578125" style="242" customWidth="1"/>
    <col min="15372" max="15372" width="16.7109375" style="242" customWidth="1"/>
    <col min="15373" max="15602" width="11.42578125" style="242"/>
    <col min="15603" max="15603" width="2.28515625" style="242" customWidth="1"/>
    <col min="15604" max="15604" width="9" style="242" customWidth="1"/>
    <col min="15605" max="15605" width="14.42578125" style="242" customWidth="1"/>
    <col min="15606" max="15606" width="37" style="242" customWidth="1"/>
    <col min="15607" max="15607" width="14" style="242" customWidth="1"/>
    <col min="15608" max="15608" width="15" style="242" customWidth="1"/>
    <col min="15609" max="15609" width="14.85546875" style="242" customWidth="1"/>
    <col min="15610" max="15610" width="9.5703125" style="242" customWidth="1"/>
    <col min="15611" max="15611" width="11.7109375" style="242" customWidth="1"/>
    <col min="15612" max="15612" width="14.28515625" style="242" customWidth="1"/>
    <col min="15613" max="15613" width="20.140625" style="242" customWidth="1"/>
    <col min="15614" max="15614" width="25.7109375" style="242" customWidth="1"/>
    <col min="15615" max="15615" width="14.85546875" style="242" customWidth="1"/>
    <col min="15616" max="15616" width="20.140625" style="242" customWidth="1"/>
    <col min="15617" max="15617" width="15.42578125" style="242" customWidth="1"/>
    <col min="15618" max="15618" width="107" style="242" customWidth="1"/>
    <col min="15619" max="15619" width="27.42578125" style="242" customWidth="1"/>
    <col min="15620" max="15620" width="28.140625" style="242" customWidth="1"/>
    <col min="15621" max="15621" width="37.5703125" style="242" customWidth="1"/>
    <col min="15622" max="15622" width="27.42578125" style="242" customWidth="1"/>
    <col min="15623" max="15623" width="42.28515625" style="242" customWidth="1"/>
    <col min="15624" max="15624" width="26" style="242" customWidth="1"/>
    <col min="15625" max="15625" width="26.28515625" style="242" customWidth="1"/>
    <col min="15626" max="15626" width="0" style="242" hidden="1" customWidth="1"/>
    <col min="15627" max="15627" width="13.42578125" style="242" customWidth="1"/>
    <col min="15628" max="15628" width="16.7109375" style="242" customWidth="1"/>
    <col min="15629" max="15858" width="11.42578125" style="242"/>
    <col min="15859" max="15859" width="2.28515625" style="242" customWidth="1"/>
    <col min="15860" max="15860" width="9" style="242" customWidth="1"/>
    <col min="15861" max="15861" width="14.42578125" style="242" customWidth="1"/>
    <col min="15862" max="15862" width="37" style="242" customWidth="1"/>
    <col min="15863" max="15863" width="14" style="242" customWidth="1"/>
    <col min="15864" max="15864" width="15" style="242" customWidth="1"/>
    <col min="15865" max="15865" width="14.85546875" style="242" customWidth="1"/>
    <col min="15866" max="15866" width="9.5703125" style="242" customWidth="1"/>
    <col min="15867" max="15867" width="11.7109375" style="242" customWidth="1"/>
    <col min="15868" max="15868" width="14.28515625" style="242" customWidth="1"/>
    <col min="15869" max="15869" width="20.140625" style="242" customWidth="1"/>
    <col min="15870" max="15870" width="25.7109375" style="242" customWidth="1"/>
    <col min="15871" max="15871" width="14.85546875" style="242" customWidth="1"/>
    <col min="15872" max="15872" width="20.140625" style="242" customWidth="1"/>
    <col min="15873" max="15873" width="15.42578125" style="242" customWidth="1"/>
    <col min="15874" max="15874" width="107" style="242" customWidth="1"/>
    <col min="15875" max="15875" width="27.42578125" style="242" customWidth="1"/>
    <col min="15876" max="15876" width="28.140625" style="242" customWidth="1"/>
    <col min="15877" max="15877" width="37.5703125" style="242" customWidth="1"/>
    <col min="15878" max="15878" width="27.42578125" style="242" customWidth="1"/>
    <col min="15879" max="15879" width="42.28515625" style="242" customWidth="1"/>
    <col min="15880" max="15880" width="26" style="242" customWidth="1"/>
    <col min="15881" max="15881" width="26.28515625" style="242" customWidth="1"/>
    <col min="15882" max="15882" width="0" style="242" hidden="1" customWidth="1"/>
    <col min="15883" max="15883" width="13.42578125" style="242" customWidth="1"/>
    <col min="15884" max="15884" width="16.7109375" style="242" customWidth="1"/>
    <col min="15885" max="16114" width="11.42578125" style="242"/>
    <col min="16115" max="16115" width="2.28515625" style="242" customWidth="1"/>
    <col min="16116" max="16116" width="9" style="242" customWidth="1"/>
    <col min="16117" max="16117" width="14.42578125" style="242" customWidth="1"/>
    <col min="16118" max="16118" width="37" style="242" customWidth="1"/>
    <col min="16119" max="16119" width="14" style="242" customWidth="1"/>
    <col min="16120" max="16120" width="15" style="242" customWidth="1"/>
    <col min="16121" max="16121" width="14.85546875" style="242" customWidth="1"/>
    <col min="16122" max="16122" width="9.5703125" style="242" customWidth="1"/>
    <col min="16123" max="16123" width="11.7109375" style="242" customWidth="1"/>
    <col min="16124" max="16124" width="14.28515625" style="242" customWidth="1"/>
    <col min="16125" max="16125" width="20.140625" style="242" customWidth="1"/>
    <col min="16126" max="16126" width="25.7109375" style="242" customWidth="1"/>
    <col min="16127" max="16127" width="14.85546875" style="242" customWidth="1"/>
    <col min="16128" max="16128" width="20.140625" style="242" customWidth="1"/>
    <col min="16129" max="16129" width="15.42578125" style="242" customWidth="1"/>
    <col min="16130" max="16130" width="107" style="242" customWidth="1"/>
    <col min="16131" max="16131" width="27.42578125" style="242" customWidth="1"/>
    <col min="16132" max="16132" width="28.140625" style="242" customWidth="1"/>
    <col min="16133" max="16133" width="37.5703125" style="242" customWidth="1"/>
    <col min="16134" max="16134" width="27.42578125" style="242" customWidth="1"/>
    <col min="16135" max="16135" width="42.28515625" style="242" customWidth="1"/>
    <col min="16136" max="16136" width="26" style="242" customWidth="1"/>
    <col min="16137" max="16137" width="26.28515625" style="242" customWidth="1"/>
    <col min="16138" max="16138" width="0" style="242" hidden="1" customWidth="1"/>
    <col min="16139" max="16139" width="13.42578125" style="242" customWidth="1"/>
    <col min="16140" max="16140" width="16.7109375" style="242" customWidth="1"/>
    <col min="16141" max="16384" width="11.42578125" style="242"/>
  </cols>
  <sheetData>
    <row r="1" spans="1:13" s="84" customFormat="1" ht="27.6">
      <c r="A1" s="101" t="s">
        <v>12</v>
      </c>
      <c r="B1" s="102" t="s">
        <v>291</v>
      </c>
      <c r="C1" s="102" t="s">
        <v>10</v>
      </c>
      <c r="D1" s="102" t="s">
        <v>13</v>
      </c>
      <c r="E1" s="103" t="s">
        <v>580</v>
      </c>
      <c r="F1" s="103" t="s">
        <v>581</v>
      </c>
      <c r="G1" s="103" t="s">
        <v>582</v>
      </c>
      <c r="H1" s="103" t="s">
        <v>583</v>
      </c>
      <c r="I1" s="104" t="s">
        <v>584</v>
      </c>
      <c r="J1" s="104" t="s">
        <v>585</v>
      </c>
      <c r="K1" s="105" t="s">
        <v>586</v>
      </c>
      <c r="L1" s="105" t="s">
        <v>587</v>
      </c>
      <c r="M1" s="105" t="s">
        <v>588</v>
      </c>
    </row>
    <row r="2" spans="1:13" ht="41.45">
      <c r="A2" s="254" t="s">
        <v>273</v>
      </c>
      <c r="B2" s="254" t="s">
        <v>57</v>
      </c>
      <c r="C2" s="254" t="s">
        <v>60</v>
      </c>
      <c r="D2" s="246" t="s">
        <v>62</v>
      </c>
      <c r="E2" s="255" t="s">
        <v>589</v>
      </c>
      <c r="F2" s="117" t="s">
        <v>590</v>
      </c>
      <c r="G2" s="116">
        <v>3176352332</v>
      </c>
      <c r="H2" s="255"/>
      <c r="I2" s="255" t="s">
        <v>591</v>
      </c>
      <c r="J2" s="240" t="s">
        <v>592</v>
      </c>
      <c r="K2" s="450" t="s">
        <v>593</v>
      </c>
      <c r="L2" s="451" t="s">
        <v>594</v>
      </c>
      <c r="M2" s="256" t="s">
        <v>595</v>
      </c>
    </row>
    <row r="3" spans="1:13">
      <c r="A3" s="254" t="s">
        <v>273</v>
      </c>
      <c r="B3" s="254" t="s">
        <v>271</v>
      </c>
      <c r="C3" s="254" t="s">
        <v>220</v>
      </c>
      <c r="D3" s="246" t="s">
        <v>62</v>
      </c>
      <c r="E3" s="255" t="s">
        <v>596</v>
      </c>
      <c r="F3" s="116" t="s">
        <v>597</v>
      </c>
      <c r="G3" s="116"/>
      <c r="H3" s="116" t="s">
        <v>598</v>
      </c>
      <c r="I3" s="116" t="s">
        <v>599</v>
      </c>
      <c r="J3" s="240" t="s">
        <v>600</v>
      </c>
      <c r="K3" s="246" t="s">
        <v>570</v>
      </c>
      <c r="L3" s="240" t="s">
        <v>601</v>
      </c>
      <c r="M3" s="246">
        <v>3183355665</v>
      </c>
    </row>
    <row r="4" spans="1:13" ht="15">
      <c r="A4" s="254" t="s">
        <v>273</v>
      </c>
      <c r="B4" s="254" t="s">
        <v>190</v>
      </c>
      <c r="C4" s="254" t="s">
        <v>192</v>
      </c>
      <c r="D4" s="246" t="s">
        <v>62</v>
      </c>
      <c r="E4" s="257" t="s">
        <v>602</v>
      </c>
      <c r="F4" s="117" t="s">
        <v>603</v>
      </c>
      <c r="G4" s="117">
        <v>3184755867</v>
      </c>
      <c r="H4" s="257" t="s">
        <v>604</v>
      </c>
      <c r="I4" s="116"/>
      <c r="J4" s="240" t="s">
        <v>605</v>
      </c>
      <c r="K4" s="246" t="s">
        <v>606</v>
      </c>
      <c r="L4" s="240" t="s">
        <v>607</v>
      </c>
      <c r="M4" s="239">
        <v>3184093825</v>
      </c>
    </row>
    <row r="5" spans="1:13">
      <c r="A5" s="254" t="s">
        <v>273</v>
      </c>
      <c r="B5" s="254" t="s">
        <v>241</v>
      </c>
      <c r="C5" s="254" t="s">
        <v>299</v>
      </c>
      <c r="D5" s="246" t="s">
        <v>297</v>
      </c>
      <c r="E5" s="255" t="s">
        <v>608</v>
      </c>
      <c r="F5" s="116" t="s">
        <v>609</v>
      </c>
      <c r="G5" s="116"/>
      <c r="H5" s="116" t="s">
        <v>610</v>
      </c>
      <c r="I5" s="116" t="s">
        <v>611</v>
      </c>
      <c r="J5" s="240" t="s">
        <v>612</v>
      </c>
      <c r="K5" s="246" t="s">
        <v>613</v>
      </c>
      <c r="L5" s="240" t="s">
        <v>614</v>
      </c>
      <c r="M5" s="246">
        <v>3178929192</v>
      </c>
    </row>
    <row r="6" spans="1:13">
      <c r="A6" s="254" t="s">
        <v>273</v>
      </c>
      <c r="B6" s="254" t="s">
        <v>374</v>
      </c>
      <c r="C6" s="254" t="s">
        <v>216</v>
      </c>
      <c r="D6" s="246" t="s">
        <v>297</v>
      </c>
      <c r="E6" s="255" t="s">
        <v>615</v>
      </c>
      <c r="F6" s="116" t="s">
        <v>616</v>
      </c>
      <c r="G6" s="255">
        <v>3162953112</v>
      </c>
      <c r="H6" s="116" t="s">
        <v>617</v>
      </c>
      <c r="I6" s="116" t="s">
        <v>618</v>
      </c>
      <c r="J6" s="240" t="s">
        <v>619</v>
      </c>
      <c r="K6" s="246" t="s">
        <v>620</v>
      </c>
      <c r="L6" s="240" t="s">
        <v>621</v>
      </c>
      <c r="M6" s="246">
        <v>3183355485</v>
      </c>
    </row>
    <row r="7" spans="1:13">
      <c r="A7" s="254" t="s">
        <v>256</v>
      </c>
      <c r="B7" s="254" t="s">
        <v>234</v>
      </c>
      <c r="C7" s="254" t="s">
        <v>188</v>
      </c>
      <c r="D7" s="246" t="s">
        <v>297</v>
      </c>
      <c r="E7" s="255" t="s">
        <v>622</v>
      </c>
      <c r="F7" s="106" t="s">
        <v>623</v>
      </c>
      <c r="G7" s="106"/>
      <c r="H7" s="106" t="s">
        <v>624</v>
      </c>
      <c r="I7" s="106" t="s">
        <v>625</v>
      </c>
      <c r="J7" s="240" t="s">
        <v>626</v>
      </c>
      <c r="K7" s="256" t="s">
        <v>627</v>
      </c>
      <c r="L7" s="240" t="s">
        <v>628</v>
      </c>
      <c r="M7" s="262">
        <v>3212354912</v>
      </c>
    </row>
    <row r="8" spans="1:13" ht="16.899999999999999">
      <c r="A8" s="254" t="s">
        <v>256</v>
      </c>
      <c r="B8" s="254" t="s">
        <v>277</v>
      </c>
      <c r="C8" s="254" t="s">
        <v>220</v>
      </c>
      <c r="D8" s="246" t="s">
        <v>62</v>
      </c>
      <c r="E8" s="255" t="s">
        <v>629</v>
      </c>
      <c r="F8" s="243" t="s">
        <v>630</v>
      </c>
      <c r="G8" s="107"/>
      <c r="H8" s="107" t="s">
        <v>631</v>
      </c>
      <c r="I8" s="107">
        <v>2705800</v>
      </c>
      <c r="J8" s="240" t="s">
        <v>632</v>
      </c>
      <c r="K8" s="256" t="s">
        <v>627</v>
      </c>
      <c r="L8" s="240" t="s">
        <v>628</v>
      </c>
      <c r="M8" s="262">
        <v>3212354912</v>
      </c>
    </row>
    <row r="9" spans="1:13" ht="21" customHeight="1">
      <c r="A9" s="258" t="s">
        <v>256</v>
      </c>
      <c r="B9" s="258" t="s">
        <v>633</v>
      </c>
      <c r="C9" s="258" t="s">
        <v>299</v>
      </c>
      <c r="D9" s="119" t="s">
        <v>297</v>
      </c>
      <c r="E9" s="259" t="s">
        <v>634</v>
      </c>
      <c r="F9" s="260" t="s">
        <v>635</v>
      </c>
      <c r="G9" s="260"/>
      <c r="H9" s="260" t="s">
        <v>636</v>
      </c>
      <c r="I9" s="260" t="s">
        <v>637</v>
      </c>
      <c r="J9" s="240" t="s">
        <v>638</v>
      </c>
      <c r="K9" s="256" t="s">
        <v>627</v>
      </c>
      <c r="L9" s="240" t="s">
        <v>628</v>
      </c>
      <c r="M9" s="262">
        <v>3212354912</v>
      </c>
    </row>
    <row r="10" spans="1:13" ht="25.5" customHeight="1">
      <c r="A10" s="254" t="s">
        <v>256</v>
      </c>
      <c r="B10" s="254" t="s">
        <v>260</v>
      </c>
      <c r="C10" s="254" t="s">
        <v>261</v>
      </c>
      <c r="D10" s="246" t="s">
        <v>297</v>
      </c>
      <c r="E10" s="255" t="s">
        <v>639</v>
      </c>
      <c r="F10" s="243" t="s">
        <v>630</v>
      </c>
      <c r="G10" s="107"/>
      <c r="H10" s="107" t="s">
        <v>640</v>
      </c>
      <c r="I10" s="107" t="s">
        <v>641</v>
      </c>
      <c r="J10" s="240" t="s">
        <v>642</v>
      </c>
      <c r="K10" s="256" t="s">
        <v>627</v>
      </c>
      <c r="L10" s="240" t="s">
        <v>628</v>
      </c>
      <c r="M10" s="262">
        <v>3212354912</v>
      </c>
    </row>
    <row r="11" spans="1:13" ht="16.899999999999999">
      <c r="A11" s="254" t="s">
        <v>256</v>
      </c>
      <c r="B11" s="254" t="s">
        <v>262</v>
      </c>
      <c r="C11" s="254" t="s">
        <v>264</v>
      </c>
      <c r="D11" s="246" t="s">
        <v>297</v>
      </c>
      <c r="E11" s="255" t="s">
        <v>643</v>
      </c>
      <c r="F11" s="243" t="s">
        <v>630</v>
      </c>
      <c r="G11" s="107"/>
      <c r="H11" s="107" t="s">
        <v>644</v>
      </c>
      <c r="I11" s="107" t="s">
        <v>645</v>
      </c>
      <c r="J11" s="240" t="s">
        <v>646</v>
      </c>
      <c r="K11" s="256" t="s">
        <v>627</v>
      </c>
      <c r="L11" s="240" t="s">
        <v>628</v>
      </c>
      <c r="M11" s="262">
        <v>3212354912</v>
      </c>
    </row>
    <row r="12" spans="1:13" ht="16.899999999999999">
      <c r="A12" s="254" t="s">
        <v>256</v>
      </c>
      <c r="B12" s="254" t="s">
        <v>266</v>
      </c>
      <c r="C12" s="254" t="s">
        <v>261</v>
      </c>
      <c r="D12" s="246" t="s">
        <v>297</v>
      </c>
      <c r="E12" s="255" t="s">
        <v>647</v>
      </c>
      <c r="F12" s="243" t="s">
        <v>630</v>
      </c>
      <c r="G12" s="107"/>
      <c r="H12" s="107" t="s">
        <v>648</v>
      </c>
      <c r="I12" s="107" t="s">
        <v>649</v>
      </c>
      <c r="J12" s="240" t="s">
        <v>632</v>
      </c>
      <c r="K12" s="256" t="s">
        <v>627</v>
      </c>
      <c r="L12" s="240" t="s">
        <v>628</v>
      </c>
      <c r="M12" s="262">
        <v>3212354912</v>
      </c>
    </row>
    <row r="13" spans="1:13" ht="30" customHeight="1">
      <c r="A13" s="254" t="s">
        <v>256</v>
      </c>
      <c r="B13" s="254" t="s">
        <v>118</v>
      </c>
      <c r="C13" s="254" t="s">
        <v>60</v>
      </c>
      <c r="D13" s="246" t="s">
        <v>297</v>
      </c>
      <c r="E13" s="255" t="s">
        <v>650</v>
      </c>
      <c r="F13" s="107" t="s">
        <v>651</v>
      </c>
      <c r="G13" s="261" t="s">
        <v>652</v>
      </c>
      <c r="H13" s="107" t="s">
        <v>653</v>
      </c>
      <c r="I13" s="107" t="s">
        <v>654</v>
      </c>
      <c r="J13" s="240" t="s">
        <v>655</v>
      </c>
      <c r="K13" s="256" t="s">
        <v>627</v>
      </c>
      <c r="L13" s="240" t="s">
        <v>628</v>
      </c>
      <c r="M13" s="262">
        <v>3212354912</v>
      </c>
    </row>
    <row r="14" spans="1:13">
      <c r="A14" s="254" t="s">
        <v>256</v>
      </c>
      <c r="B14" s="254" t="s">
        <v>656</v>
      </c>
      <c r="C14" s="254" t="s">
        <v>264</v>
      </c>
      <c r="D14" s="246" t="s">
        <v>297</v>
      </c>
      <c r="E14" s="255" t="s">
        <v>657</v>
      </c>
      <c r="F14" s="108" t="s">
        <v>658</v>
      </c>
      <c r="G14" s="108"/>
      <c r="H14" s="108" t="s">
        <v>659</v>
      </c>
      <c r="I14" s="108" t="s">
        <v>660</v>
      </c>
      <c r="J14" s="240" t="s">
        <v>661</v>
      </c>
      <c r="K14" s="256" t="s">
        <v>627</v>
      </c>
      <c r="L14" s="240" t="s">
        <v>628</v>
      </c>
      <c r="M14" s="262">
        <v>3212354912</v>
      </c>
    </row>
    <row r="15" spans="1:13">
      <c r="A15" s="254" t="s">
        <v>256</v>
      </c>
      <c r="B15" s="254" t="s">
        <v>185</v>
      </c>
      <c r="C15" s="254" t="s">
        <v>188</v>
      </c>
      <c r="D15" s="246" t="s">
        <v>297</v>
      </c>
      <c r="E15" s="255" t="s">
        <v>622</v>
      </c>
      <c r="F15" s="106" t="s">
        <v>623</v>
      </c>
      <c r="G15" s="106"/>
      <c r="H15" s="106" t="s">
        <v>624</v>
      </c>
      <c r="I15" s="106" t="s">
        <v>625</v>
      </c>
      <c r="J15" s="240" t="s">
        <v>662</v>
      </c>
      <c r="K15" s="256" t="s">
        <v>627</v>
      </c>
      <c r="L15" s="240" t="s">
        <v>628</v>
      </c>
      <c r="M15" s="262">
        <v>3212354912</v>
      </c>
    </row>
    <row r="16" spans="1:13">
      <c r="A16" s="254" t="s">
        <v>256</v>
      </c>
      <c r="B16" s="254" t="s">
        <v>122</v>
      </c>
      <c r="C16" s="254" t="s">
        <v>60</v>
      </c>
      <c r="D16" s="246" t="s">
        <v>297</v>
      </c>
      <c r="E16" s="255" t="s">
        <v>663</v>
      </c>
      <c r="F16" s="106" t="s">
        <v>664</v>
      </c>
      <c r="G16" s="106"/>
      <c r="H16" s="106" t="s">
        <v>665</v>
      </c>
      <c r="I16" s="106" t="s">
        <v>666</v>
      </c>
      <c r="J16" s="240" t="s">
        <v>667</v>
      </c>
      <c r="K16" s="256" t="s">
        <v>627</v>
      </c>
      <c r="L16" s="240" t="s">
        <v>628</v>
      </c>
      <c r="M16" s="262">
        <v>3212354912</v>
      </c>
    </row>
    <row r="17" spans="1:13" ht="15.6">
      <c r="A17" s="254" t="s">
        <v>256</v>
      </c>
      <c r="B17" s="254" t="s">
        <v>180</v>
      </c>
      <c r="C17" s="254" t="s">
        <v>60</v>
      </c>
      <c r="D17" s="246" t="s">
        <v>297</v>
      </c>
      <c r="E17" s="255" t="s">
        <v>668</v>
      </c>
      <c r="F17" s="263" t="s">
        <v>669</v>
      </c>
      <c r="G17" s="264">
        <v>3323368</v>
      </c>
      <c r="H17" s="106" t="s">
        <v>670</v>
      </c>
      <c r="I17" s="106" t="s">
        <v>671</v>
      </c>
      <c r="J17" s="240" t="s">
        <v>672</v>
      </c>
      <c r="K17" s="256" t="s">
        <v>627</v>
      </c>
      <c r="L17" s="240" t="s">
        <v>628</v>
      </c>
      <c r="M17" s="262">
        <v>3212354912</v>
      </c>
    </row>
    <row r="18" spans="1:13">
      <c r="A18" s="254" t="s">
        <v>256</v>
      </c>
      <c r="B18" s="254" t="s">
        <v>210</v>
      </c>
      <c r="C18" s="254" t="s">
        <v>299</v>
      </c>
      <c r="D18" s="265" t="s">
        <v>62</v>
      </c>
      <c r="E18" s="255" t="s">
        <v>673</v>
      </c>
      <c r="F18" s="116" t="s">
        <v>674</v>
      </c>
      <c r="G18" s="116"/>
      <c r="H18" s="116" t="s">
        <v>675</v>
      </c>
      <c r="I18" s="116" t="s">
        <v>676</v>
      </c>
      <c r="J18" s="240" t="s">
        <v>677</v>
      </c>
      <c r="K18" s="256" t="s">
        <v>627</v>
      </c>
      <c r="L18" s="240" t="s">
        <v>628</v>
      </c>
      <c r="M18" s="262">
        <v>3212354912</v>
      </c>
    </row>
    <row r="19" spans="1:13" ht="41.45">
      <c r="A19" s="266" t="s">
        <v>256</v>
      </c>
      <c r="B19" s="266" t="s">
        <v>67</v>
      </c>
      <c r="C19" s="266" t="s">
        <v>60</v>
      </c>
      <c r="D19" s="256" t="s">
        <v>62</v>
      </c>
      <c r="E19" s="267" t="s">
        <v>678</v>
      </c>
      <c r="F19" s="110" t="s">
        <v>679</v>
      </c>
      <c r="G19" s="110"/>
      <c r="H19" s="110" t="s">
        <v>680</v>
      </c>
      <c r="I19" s="110">
        <v>3165135252</v>
      </c>
      <c r="J19" s="240" t="s">
        <v>681</v>
      </c>
      <c r="K19" s="450" t="s">
        <v>593</v>
      </c>
      <c r="L19" s="451" t="s">
        <v>594</v>
      </c>
      <c r="M19" s="256" t="s">
        <v>595</v>
      </c>
    </row>
    <row r="20" spans="1:13" ht="36" customHeight="1">
      <c r="A20" s="254" t="s">
        <v>256</v>
      </c>
      <c r="B20" s="254" t="s">
        <v>111</v>
      </c>
      <c r="C20" s="254" t="s">
        <v>60</v>
      </c>
      <c r="D20" s="246" t="s">
        <v>297</v>
      </c>
      <c r="E20" s="255" t="s">
        <v>682</v>
      </c>
      <c r="F20" s="269" t="s">
        <v>683</v>
      </c>
      <c r="G20" s="806" t="s">
        <v>684</v>
      </c>
      <c r="H20" s="106" t="s">
        <v>685</v>
      </c>
      <c r="I20" s="106" t="s">
        <v>686</v>
      </c>
      <c r="J20" s="240" t="s">
        <v>687</v>
      </c>
      <c r="K20" s="256" t="s">
        <v>627</v>
      </c>
      <c r="L20" s="240" t="s">
        <v>628</v>
      </c>
      <c r="M20" s="262">
        <v>3212354912</v>
      </c>
    </row>
    <row r="21" spans="1:13" ht="36.75" customHeight="1">
      <c r="A21" s="254" t="s">
        <v>256</v>
      </c>
      <c r="B21" s="254" t="s">
        <v>115</v>
      </c>
      <c r="C21" s="254" t="s">
        <v>60</v>
      </c>
      <c r="D21" s="246" t="s">
        <v>297</v>
      </c>
      <c r="E21" s="255" t="s">
        <v>688</v>
      </c>
      <c r="F21" s="106" t="s">
        <v>689</v>
      </c>
      <c r="G21" s="106">
        <v>3154515005</v>
      </c>
      <c r="H21" s="106" t="s">
        <v>690</v>
      </c>
      <c r="I21" s="106" t="s">
        <v>691</v>
      </c>
      <c r="J21" s="240" t="s">
        <v>692</v>
      </c>
      <c r="K21" s="256" t="s">
        <v>627</v>
      </c>
      <c r="L21" s="240" t="s">
        <v>628</v>
      </c>
      <c r="M21" s="262">
        <v>3212354912</v>
      </c>
    </row>
    <row r="22" spans="1:13">
      <c r="A22" s="254" t="s">
        <v>256</v>
      </c>
      <c r="B22" s="254" t="s">
        <v>108</v>
      </c>
      <c r="C22" s="254" t="s">
        <v>60</v>
      </c>
      <c r="D22" s="246" t="s">
        <v>297</v>
      </c>
      <c r="E22" s="255" t="s">
        <v>693</v>
      </c>
      <c r="F22" s="106" t="s">
        <v>694</v>
      </c>
      <c r="G22" s="106"/>
      <c r="H22" s="106" t="s">
        <v>695</v>
      </c>
      <c r="I22" s="106" t="s">
        <v>696</v>
      </c>
      <c r="J22" s="240" t="s">
        <v>697</v>
      </c>
      <c r="K22" s="256" t="s">
        <v>627</v>
      </c>
      <c r="L22" s="240" t="s">
        <v>628</v>
      </c>
      <c r="M22" s="262">
        <v>3212354912</v>
      </c>
    </row>
    <row r="23" spans="1:13">
      <c r="A23" s="254" t="s">
        <v>256</v>
      </c>
      <c r="B23" s="254" t="s">
        <v>269</v>
      </c>
      <c r="C23" s="254" t="s">
        <v>220</v>
      </c>
      <c r="D23" s="246" t="s">
        <v>297</v>
      </c>
      <c r="E23" s="255" t="s">
        <v>698</v>
      </c>
      <c r="F23" s="106" t="s">
        <v>699</v>
      </c>
      <c r="G23" s="108"/>
      <c r="H23" s="108" t="s">
        <v>700</v>
      </c>
      <c r="I23" s="108">
        <v>2705800</v>
      </c>
      <c r="J23" s="240" t="s">
        <v>701</v>
      </c>
      <c r="K23" s="256" t="s">
        <v>627</v>
      </c>
      <c r="L23" s="240" t="s">
        <v>628</v>
      </c>
      <c r="M23" s="262">
        <v>3212354912</v>
      </c>
    </row>
    <row r="24" spans="1:13" ht="24">
      <c r="A24" s="254" t="s">
        <v>256</v>
      </c>
      <c r="B24" s="254" t="s">
        <v>702</v>
      </c>
      <c r="C24" s="254" t="s">
        <v>60</v>
      </c>
      <c r="D24" s="246" t="s">
        <v>297</v>
      </c>
      <c r="E24" s="255" t="s">
        <v>703</v>
      </c>
      <c r="F24" s="270" t="s">
        <v>704</v>
      </c>
      <c r="G24" s="106"/>
      <c r="H24" s="106" t="s">
        <v>705</v>
      </c>
      <c r="I24" s="106" t="s">
        <v>706</v>
      </c>
      <c r="J24" s="240" t="s">
        <v>707</v>
      </c>
      <c r="K24" s="256" t="s">
        <v>627</v>
      </c>
      <c r="L24" s="240" t="s">
        <v>628</v>
      </c>
      <c r="M24" s="262">
        <v>3212354912</v>
      </c>
    </row>
    <row r="25" spans="1:13">
      <c r="A25" s="254" t="s">
        <v>256</v>
      </c>
      <c r="B25" s="254" t="s">
        <v>125</v>
      </c>
      <c r="C25" s="254" t="s">
        <v>60</v>
      </c>
      <c r="D25" s="265" t="s">
        <v>62</v>
      </c>
      <c r="E25" s="255" t="s">
        <v>708</v>
      </c>
      <c r="F25" s="106" t="s">
        <v>694</v>
      </c>
      <c r="G25" s="106"/>
      <c r="H25" s="106" t="s">
        <v>709</v>
      </c>
      <c r="I25" s="106" t="s">
        <v>710</v>
      </c>
      <c r="J25" s="240" t="s">
        <v>711</v>
      </c>
      <c r="K25" s="256" t="s">
        <v>627</v>
      </c>
      <c r="L25" s="240" t="s">
        <v>628</v>
      </c>
      <c r="M25" s="262">
        <v>3212354912</v>
      </c>
    </row>
    <row r="26" spans="1:13">
      <c r="A26" s="254" t="s">
        <v>256</v>
      </c>
      <c r="B26" s="254" t="s">
        <v>182</v>
      </c>
      <c r="C26" s="254" t="s">
        <v>302</v>
      </c>
      <c r="D26" s="246" t="s">
        <v>297</v>
      </c>
      <c r="E26" s="255" t="s">
        <v>712</v>
      </c>
      <c r="F26" s="106" t="s">
        <v>713</v>
      </c>
      <c r="G26" s="106"/>
      <c r="H26" s="106" t="s">
        <v>714</v>
      </c>
      <c r="I26" s="106" t="s">
        <v>715</v>
      </c>
      <c r="J26" s="240" t="s">
        <v>716</v>
      </c>
      <c r="K26" s="256" t="s">
        <v>627</v>
      </c>
      <c r="L26" s="240" t="s">
        <v>628</v>
      </c>
      <c r="M26" s="262">
        <v>3212354912</v>
      </c>
    </row>
    <row r="27" spans="1:13">
      <c r="A27" s="254" t="s">
        <v>256</v>
      </c>
      <c r="B27" s="254" t="s">
        <v>80</v>
      </c>
      <c r="C27" s="254" t="s">
        <v>78</v>
      </c>
      <c r="D27" s="246" t="s">
        <v>297</v>
      </c>
      <c r="E27" s="255" t="s">
        <v>717</v>
      </c>
      <c r="F27" s="106" t="s">
        <v>718</v>
      </c>
      <c r="G27" s="106"/>
      <c r="H27" s="106" t="s">
        <v>719</v>
      </c>
      <c r="I27" s="106" t="s">
        <v>720</v>
      </c>
      <c r="J27" s="240" t="s">
        <v>721</v>
      </c>
      <c r="K27" s="256" t="s">
        <v>627</v>
      </c>
      <c r="L27" s="240" t="s">
        <v>628</v>
      </c>
      <c r="M27" s="262">
        <v>3212354912</v>
      </c>
    </row>
    <row r="28" spans="1:13" ht="40.5" customHeight="1">
      <c r="A28" s="254" t="s">
        <v>256</v>
      </c>
      <c r="B28" s="254" t="s">
        <v>239</v>
      </c>
      <c r="C28" s="254" t="s">
        <v>299</v>
      </c>
      <c r="D28" s="246" t="s">
        <v>297</v>
      </c>
      <c r="E28" s="255" t="s">
        <v>722</v>
      </c>
      <c r="F28" s="108" t="s">
        <v>723</v>
      </c>
      <c r="G28" s="108"/>
      <c r="H28" s="108" t="s">
        <v>724</v>
      </c>
      <c r="I28" s="108" t="s">
        <v>725</v>
      </c>
      <c r="J28" s="240" t="s">
        <v>726</v>
      </c>
      <c r="K28" s="256" t="s">
        <v>627</v>
      </c>
      <c r="L28" s="240" t="s">
        <v>628</v>
      </c>
      <c r="M28" s="262">
        <v>3212354912</v>
      </c>
    </row>
    <row r="29" spans="1:13">
      <c r="A29" s="254" t="s">
        <v>256</v>
      </c>
      <c r="B29" s="254" t="s">
        <v>197</v>
      </c>
      <c r="C29" s="254" t="s">
        <v>199</v>
      </c>
      <c r="D29" s="265" t="s">
        <v>62</v>
      </c>
      <c r="E29" s="255" t="s">
        <v>727</v>
      </c>
      <c r="F29" s="108" t="s">
        <v>728</v>
      </c>
      <c r="G29" s="108"/>
      <c r="H29" s="108" t="s">
        <v>729</v>
      </c>
      <c r="I29" s="108" t="s">
        <v>730</v>
      </c>
      <c r="J29" s="240" t="s">
        <v>731</v>
      </c>
      <c r="K29" s="256" t="s">
        <v>627</v>
      </c>
      <c r="L29" s="240" t="s">
        <v>628</v>
      </c>
      <c r="M29" s="262">
        <v>3212354912</v>
      </c>
    </row>
    <row r="30" spans="1:13">
      <c r="A30" s="254" t="s">
        <v>256</v>
      </c>
      <c r="B30" s="254" t="s">
        <v>275</v>
      </c>
      <c r="C30" s="254" t="s">
        <v>216</v>
      </c>
      <c r="D30" s="246" t="s">
        <v>297</v>
      </c>
      <c r="E30" s="255" t="s">
        <v>732</v>
      </c>
      <c r="F30" s="108" t="s">
        <v>733</v>
      </c>
      <c r="G30" s="108"/>
      <c r="H30" s="108" t="s">
        <v>733</v>
      </c>
      <c r="I30" s="108">
        <v>2110111</v>
      </c>
      <c r="J30" s="240" t="s">
        <v>734</v>
      </c>
      <c r="K30" s="256" t="s">
        <v>627</v>
      </c>
      <c r="L30" s="240" t="s">
        <v>628</v>
      </c>
      <c r="M30" s="262">
        <v>3212354912</v>
      </c>
    </row>
    <row r="31" spans="1:13">
      <c r="A31" s="258" t="s">
        <v>256</v>
      </c>
      <c r="B31" s="258" t="s">
        <v>735</v>
      </c>
      <c r="C31" s="258" t="s">
        <v>299</v>
      </c>
      <c r="D31" s="119" t="s">
        <v>297</v>
      </c>
      <c r="E31" s="259" t="s">
        <v>634</v>
      </c>
      <c r="F31" s="260" t="s">
        <v>736</v>
      </c>
      <c r="G31" s="260"/>
      <c r="H31" s="260" t="s">
        <v>737</v>
      </c>
      <c r="I31" s="260" t="s">
        <v>738</v>
      </c>
      <c r="J31" s="240" t="s">
        <v>726</v>
      </c>
      <c r="K31" s="256" t="s">
        <v>627</v>
      </c>
      <c r="L31" s="240" t="s">
        <v>628</v>
      </c>
      <c r="M31" s="262">
        <v>3212354912</v>
      </c>
    </row>
    <row r="32" spans="1:13">
      <c r="A32" s="254" t="s">
        <v>256</v>
      </c>
      <c r="B32" s="271" t="s">
        <v>739</v>
      </c>
      <c r="C32" s="254" t="s">
        <v>188</v>
      </c>
      <c r="D32" s="246" t="s">
        <v>297</v>
      </c>
      <c r="E32" s="255" t="s">
        <v>740</v>
      </c>
      <c r="F32" s="272" t="s">
        <v>741</v>
      </c>
      <c r="G32" s="272"/>
      <c r="H32" s="272"/>
      <c r="I32" s="272" t="s">
        <v>742</v>
      </c>
      <c r="J32" s="240" t="s">
        <v>743</v>
      </c>
      <c r="K32" s="256" t="s">
        <v>627</v>
      </c>
      <c r="L32" s="240" t="s">
        <v>628</v>
      </c>
      <c r="M32" s="262">
        <v>3212354912</v>
      </c>
    </row>
    <row r="33" spans="1:13" ht="20.45">
      <c r="A33" s="254" t="s">
        <v>256</v>
      </c>
      <c r="B33" s="254" t="s">
        <v>254</v>
      </c>
      <c r="C33" s="254" t="s">
        <v>220</v>
      </c>
      <c r="D33" s="246" t="s">
        <v>297</v>
      </c>
      <c r="E33" s="255" t="s">
        <v>698</v>
      </c>
      <c r="F33" s="243" t="s">
        <v>744</v>
      </c>
      <c r="G33" s="108"/>
      <c r="H33" s="244" t="s">
        <v>745</v>
      </c>
      <c r="I33" s="245" t="s">
        <v>746</v>
      </c>
      <c r="J33" s="240" t="s">
        <v>747</v>
      </c>
      <c r="K33" s="256" t="s">
        <v>627</v>
      </c>
      <c r="L33" s="240" t="s">
        <v>628</v>
      </c>
      <c r="M33" s="262">
        <v>3212354912</v>
      </c>
    </row>
    <row r="34" spans="1:13" ht="27" customHeight="1">
      <c r="A34" s="254" t="s">
        <v>256</v>
      </c>
      <c r="B34" s="254" t="s">
        <v>129</v>
      </c>
      <c r="C34" s="254" t="s">
        <v>60</v>
      </c>
      <c r="D34" s="265" t="s">
        <v>62</v>
      </c>
      <c r="E34" s="255" t="s">
        <v>748</v>
      </c>
      <c r="F34" s="108" t="s">
        <v>749</v>
      </c>
      <c r="G34" s="274"/>
      <c r="H34" s="108" t="s">
        <v>750</v>
      </c>
      <c r="I34" s="108">
        <v>6851414</v>
      </c>
      <c r="J34" s="240" t="s">
        <v>751</v>
      </c>
      <c r="K34" s="256" t="s">
        <v>627</v>
      </c>
      <c r="L34" s="240" t="s">
        <v>628</v>
      </c>
      <c r="M34" s="262">
        <v>3212354912</v>
      </c>
    </row>
    <row r="35" spans="1:13">
      <c r="A35" s="258" t="s">
        <v>256</v>
      </c>
      <c r="B35" s="258" t="s">
        <v>752</v>
      </c>
      <c r="C35" s="258" t="s">
        <v>299</v>
      </c>
      <c r="D35" s="119" t="s">
        <v>297</v>
      </c>
      <c r="E35" s="258" t="s">
        <v>753</v>
      </c>
      <c r="F35" s="275" t="s">
        <v>754</v>
      </c>
      <c r="G35" s="275"/>
      <c r="H35" s="258" t="s">
        <v>755</v>
      </c>
      <c r="I35" s="276" t="s">
        <v>738</v>
      </c>
      <c r="J35" s="240" t="s">
        <v>726</v>
      </c>
      <c r="K35" s="256" t="s">
        <v>627</v>
      </c>
      <c r="L35" s="240" t="s">
        <v>628</v>
      </c>
      <c r="M35" s="262">
        <v>3212354912</v>
      </c>
    </row>
    <row r="36" spans="1:13">
      <c r="A36" s="254" t="s">
        <v>203</v>
      </c>
      <c r="B36" s="254" t="s">
        <v>238</v>
      </c>
      <c r="C36" s="254" t="s">
        <v>299</v>
      </c>
      <c r="D36" s="246" t="s">
        <v>297</v>
      </c>
      <c r="E36" s="255" t="s">
        <v>608</v>
      </c>
      <c r="F36" s="116" t="s">
        <v>756</v>
      </c>
      <c r="G36" s="116"/>
      <c r="H36" s="116" t="s">
        <v>757</v>
      </c>
      <c r="I36" s="116" t="s">
        <v>758</v>
      </c>
      <c r="J36" s="240" t="s">
        <v>759</v>
      </c>
      <c r="K36" s="246" t="s">
        <v>613</v>
      </c>
      <c r="L36" s="246" t="s">
        <v>614</v>
      </c>
      <c r="M36" s="246">
        <v>3178929192</v>
      </c>
    </row>
    <row r="37" spans="1:13">
      <c r="A37" s="258" t="s">
        <v>203</v>
      </c>
      <c r="B37" s="258" t="s">
        <v>760</v>
      </c>
      <c r="C37" s="258" t="s">
        <v>78</v>
      </c>
      <c r="D37" s="119" t="s">
        <v>297</v>
      </c>
      <c r="E37" s="259" t="s">
        <v>761</v>
      </c>
      <c r="F37" s="260" t="s">
        <v>762</v>
      </c>
      <c r="G37" s="259">
        <v>6572435</v>
      </c>
      <c r="H37" s="259" t="s">
        <v>763</v>
      </c>
      <c r="I37" s="259" t="s">
        <v>764</v>
      </c>
      <c r="J37" s="240" t="s">
        <v>765</v>
      </c>
      <c r="K37" s="256" t="s">
        <v>627</v>
      </c>
      <c r="L37" s="240" t="s">
        <v>628</v>
      </c>
      <c r="M37" s="262">
        <v>3212354912</v>
      </c>
    </row>
    <row r="38" spans="1:13" ht="15">
      <c r="A38" s="258" t="s">
        <v>203</v>
      </c>
      <c r="B38" s="258" t="s">
        <v>236</v>
      </c>
      <c r="C38" s="258" t="s">
        <v>188</v>
      </c>
      <c r="D38" s="119" t="s">
        <v>297</v>
      </c>
      <c r="E38" s="259" t="s">
        <v>766</v>
      </c>
      <c r="F38" s="260" t="s">
        <v>767</v>
      </c>
      <c r="G38" s="260">
        <v>3176485782</v>
      </c>
      <c r="H38" s="260" t="s">
        <v>768</v>
      </c>
      <c r="I38" s="260">
        <v>3157471583</v>
      </c>
      <c r="J38" s="240" t="s">
        <v>769</v>
      </c>
      <c r="K38" s="246" t="s">
        <v>606</v>
      </c>
      <c r="L38" s="277" t="s">
        <v>607</v>
      </c>
      <c r="M38" s="241">
        <v>3184093825</v>
      </c>
    </row>
    <row r="39" spans="1:13">
      <c r="A39" s="254" t="s">
        <v>203</v>
      </c>
      <c r="B39" s="254" t="s">
        <v>201</v>
      </c>
      <c r="C39" s="254" t="s">
        <v>199</v>
      </c>
      <c r="D39" s="265" t="s">
        <v>62</v>
      </c>
      <c r="E39" s="255" t="s">
        <v>770</v>
      </c>
      <c r="F39" s="108" t="s">
        <v>771</v>
      </c>
      <c r="G39" s="108">
        <v>3168221195</v>
      </c>
      <c r="H39" s="108" t="s">
        <v>729</v>
      </c>
      <c r="I39" s="108" t="s">
        <v>730</v>
      </c>
      <c r="J39" s="240" t="s">
        <v>772</v>
      </c>
      <c r="K39" s="256" t="s">
        <v>627</v>
      </c>
      <c r="L39" s="240" t="s">
        <v>628</v>
      </c>
      <c r="M39" s="262">
        <v>3212354912</v>
      </c>
    </row>
    <row r="40" spans="1:13">
      <c r="A40" s="254" t="s">
        <v>203</v>
      </c>
      <c r="B40" s="254" t="s">
        <v>252</v>
      </c>
      <c r="C40" s="254" t="s">
        <v>220</v>
      </c>
      <c r="D40" s="246" t="s">
        <v>297</v>
      </c>
      <c r="E40" s="255" t="s">
        <v>773</v>
      </c>
      <c r="F40" s="116" t="s">
        <v>774</v>
      </c>
      <c r="G40" s="116"/>
      <c r="H40" s="116"/>
      <c r="I40" s="116" t="s">
        <v>775</v>
      </c>
      <c r="J40" s="240" t="s">
        <v>776</v>
      </c>
      <c r="K40" s="246" t="s">
        <v>570</v>
      </c>
      <c r="L40" s="246" t="s">
        <v>601</v>
      </c>
      <c r="M40" s="246">
        <v>3183355665</v>
      </c>
    </row>
    <row r="41" spans="1:13">
      <c r="A41" s="246" t="s">
        <v>87</v>
      </c>
      <c r="B41" s="246" t="s">
        <v>777</v>
      </c>
      <c r="C41" s="246" t="s">
        <v>60</v>
      </c>
      <c r="D41" s="246" t="s">
        <v>297</v>
      </c>
      <c r="E41" s="112" t="s">
        <v>778</v>
      </c>
      <c r="F41" s="247" t="s">
        <v>779</v>
      </c>
      <c r="G41" s="247" t="s">
        <v>780</v>
      </c>
      <c r="H41" s="248"/>
      <c r="I41" s="112" t="s">
        <v>781</v>
      </c>
      <c r="J41" s="240" t="s">
        <v>782</v>
      </c>
      <c r="K41" s="256" t="s">
        <v>627</v>
      </c>
      <c r="L41" s="240" t="s">
        <v>628</v>
      </c>
      <c r="M41" s="262">
        <v>3212354912</v>
      </c>
    </row>
    <row r="42" spans="1:13">
      <c r="A42" s="246" t="s">
        <v>87</v>
      </c>
      <c r="B42" s="278" t="s">
        <v>783</v>
      </c>
      <c r="C42" s="246" t="s">
        <v>137</v>
      </c>
      <c r="D42" s="246" t="s">
        <v>297</v>
      </c>
      <c r="E42" s="272" t="s">
        <v>784</v>
      </c>
      <c r="F42" s="398" t="s">
        <v>785</v>
      </c>
      <c r="G42" s="397">
        <v>3163137008</v>
      </c>
      <c r="H42" s="116"/>
      <c r="I42" s="116" t="s">
        <v>786</v>
      </c>
      <c r="J42" s="240" t="s">
        <v>787</v>
      </c>
      <c r="K42" s="256" t="s">
        <v>788</v>
      </c>
      <c r="L42" s="240" t="s">
        <v>789</v>
      </c>
      <c r="M42" s="262">
        <v>3212354912</v>
      </c>
    </row>
    <row r="43" spans="1:13">
      <c r="A43" s="246" t="s">
        <v>87</v>
      </c>
      <c r="B43" s="246" t="s">
        <v>790</v>
      </c>
      <c r="C43" s="246" t="s">
        <v>60</v>
      </c>
      <c r="D43" s="246" t="s">
        <v>297</v>
      </c>
      <c r="E43" s="112" t="s">
        <v>791</v>
      </c>
      <c r="F43" s="247" t="s">
        <v>792</v>
      </c>
      <c r="G43" s="247" t="s">
        <v>793</v>
      </c>
      <c r="H43" s="248"/>
      <c r="I43" s="112" t="s">
        <v>794</v>
      </c>
      <c r="J43" s="240" t="s">
        <v>795</v>
      </c>
      <c r="K43" s="246" t="s">
        <v>796</v>
      </c>
      <c r="L43" s="246" t="s">
        <v>797</v>
      </c>
      <c r="M43" s="246">
        <v>3168785276</v>
      </c>
    </row>
    <row r="44" spans="1:13">
      <c r="A44" s="246" t="s">
        <v>87</v>
      </c>
      <c r="B44" s="278" t="s">
        <v>798</v>
      </c>
      <c r="C44" s="246" t="s">
        <v>137</v>
      </c>
      <c r="D44" s="246" t="s">
        <v>297</v>
      </c>
      <c r="E44" s="112" t="s">
        <v>791</v>
      </c>
      <c r="F44" s="398" t="s">
        <v>799</v>
      </c>
      <c r="G44" s="397">
        <v>3175762765</v>
      </c>
      <c r="H44" s="113"/>
      <c r="I44" s="113" t="s">
        <v>800</v>
      </c>
      <c r="J44" s="240" t="s">
        <v>801</v>
      </c>
      <c r="K44" s="256" t="s">
        <v>788</v>
      </c>
      <c r="L44" s="240" t="s">
        <v>789</v>
      </c>
      <c r="M44" s="262">
        <v>3212354912</v>
      </c>
    </row>
    <row r="45" spans="1:13">
      <c r="A45" s="246" t="s">
        <v>87</v>
      </c>
      <c r="B45" s="246" t="s">
        <v>802</v>
      </c>
      <c r="C45" s="246" t="s">
        <v>60</v>
      </c>
      <c r="D45" s="246" t="s">
        <v>297</v>
      </c>
      <c r="E45" s="112" t="s">
        <v>803</v>
      </c>
      <c r="F45" s="247" t="s">
        <v>804</v>
      </c>
      <c r="G45" s="247" t="s">
        <v>805</v>
      </c>
      <c r="H45" s="248"/>
      <c r="I45" s="112" t="s">
        <v>806</v>
      </c>
      <c r="J45" s="240" t="s">
        <v>807</v>
      </c>
      <c r="K45" s="246" t="s">
        <v>808</v>
      </c>
      <c r="L45" s="262" t="s">
        <v>809</v>
      </c>
      <c r="M45" s="246" t="s">
        <v>810</v>
      </c>
    </row>
    <row r="46" spans="1:13">
      <c r="A46" s="246" t="s">
        <v>87</v>
      </c>
      <c r="B46" s="278" t="s">
        <v>360</v>
      </c>
      <c r="C46" s="246" t="s">
        <v>60</v>
      </c>
      <c r="D46" s="246" t="s">
        <v>297</v>
      </c>
      <c r="E46" s="272" t="s">
        <v>811</v>
      </c>
      <c r="F46" s="398" t="s">
        <v>812</v>
      </c>
      <c r="G46" s="397">
        <v>3188021240</v>
      </c>
      <c r="H46" s="113"/>
      <c r="I46" s="113" t="s">
        <v>813</v>
      </c>
      <c r="J46" s="240" t="s">
        <v>814</v>
      </c>
      <c r="K46" s="256" t="s">
        <v>788</v>
      </c>
      <c r="L46" s="240" t="s">
        <v>789</v>
      </c>
      <c r="M46" s="262">
        <v>3212354912</v>
      </c>
    </row>
    <row r="47" spans="1:13">
      <c r="A47" s="246" t="s">
        <v>87</v>
      </c>
      <c r="B47" s="278" t="s">
        <v>158</v>
      </c>
      <c r="C47" s="246" t="s">
        <v>60</v>
      </c>
      <c r="D47" s="246" t="s">
        <v>297</v>
      </c>
      <c r="E47" s="272" t="s">
        <v>815</v>
      </c>
      <c r="F47" s="116" t="s">
        <v>816</v>
      </c>
      <c r="G47" s="116">
        <v>3173693684</v>
      </c>
      <c r="H47" s="116"/>
      <c r="I47" s="116" t="s">
        <v>817</v>
      </c>
      <c r="J47" s="240" t="s">
        <v>818</v>
      </c>
      <c r="K47" s="256" t="s">
        <v>788</v>
      </c>
      <c r="L47" s="240" t="s">
        <v>789</v>
      </c>
      <c r="M47" s="262">
        <v>3212354912</v>
      </c>
    </row>
    <row r="48" spans="1:13">
      <c r="A48" s="246" t="s">
        <v>87</v>
      </c>
      <c r="B48" s="246" t="s">
        <v>819</v>
      </c>
      <c r="C48" s="246" t="s">
        <v>60</v>
      </c>
      <c r="D48" s="246" t="s">
        <v>297</v>
      </c>
      <c r="E48" s="112" t="s">
        <v>820</v>
      </c>
      <c r="F48" s="398" t="s">
        <v>821</v>
      </c>
      <c r="G48" s="397">
        <v>3173693684</v>
      </c>
      <c r="H48" s="248"/>
      <c r="I48" s="112" t="s">
        <v>822</v>
      </c>
      <c r="J48" s="402" t="s">
        <v>818</v>
      </c>
      <c r="K48" s="256" t="s">
        <v>823</v>
      </c>
      <c r="L48" s="240" t="s">
        <v>824</v>
      </c>
      <c r="M48" s="262" t="s">
        <v>825</v>
      </c>
    </row>
    <row r="49" spans="1:13">
      <c r="A49" s="246" t="s">
        <v>87</v>
      </c>
      <c r="B49" s="246" t="s">
        <v>826</v>
      </c>
      <c r="C49" s="246" t="s">
        <v>60</v>
      </c>
      <c r="D49" s="246" t="s">
        <v>297</v>
      </c>
      <c r="E49" s="112" t="s">
        <v>827</v>
      </c>
      <c r="F49" s="249" t="s">
        <v>828</v>
      </c>
      <c r="G49" s="247" t="s">
        <v>829</v>
      </c>
      <c r="H49" s="248"/>
      <c r="I49" s="112" t="s">
        <v>830</v>
      </c>
      <c r="J49" s="240" t="s">
        <v>831</v>
      </c>
      <c r="K49" s="256" t="s">
        <v>823</v>
      </c>
      <c r="L49" s="240" t="s">
        <v>824</v>
      </c>
      <c r="M49" s="262" t="s">
        <v>825</v>
      </c>
    </row>
    <row r="50" spans="1:13">
      <c r="A50" s="246" t="s">
        <v>87</v>
      </c>
      <c r="B50" s="278" t="s">
        <v>154</v>
      </c>
      <c r="C50" s="246" t="s">
        <v>137</v>
      </c>
      <c r="D50" s="246" t="s">
        <v>297</v>
      </c>
      <c r="E50" s="272" t="s">
        <v>832</v>
      </c>
      <c r="F50" s="398" t="s">
        <v>833</v>
      </c>
      <c r="G50" s="397">
        <v>3187083328</v>
      </c>
      <c r="H50" s="116"/>
      <c r="I50" s="116" t="s">
        <v>834</v>
      </c>
      <c r="J50" s="240" t="s">
        <v>835</v>
      </c>
      <c r="K50" s="256" t="s">
        <v>788</v>
      </c>
      <c r="L50" s="240" t="s">
        <v>789</v>
      </c>
      <c r="M50" s="262">
        <v>3212354912</v>
      </c>
    </row>
    <row r="51" spans="1:13">
      <c r="A51" s="246" t="s">
        <v>87</v>
      </c>
      <c r="B51" s="246" t="s">
        <v>836</v>
      </c>
      <c r="C51" s="246" t="s">
        <v>60</v>
      </c>
      <c r="D51" s="265" t="s">
        <v>62</v>
      </c>
      <c r="E51" s="112" t="s">
        <v>837</v>
      </c>
      <c r="F51" s="247" t="s">
        <v>838</v>
      </c>
      <c r="G51" s="247" t="s">
        <v>839</v>
      </c>
      <c r="H51" s="248"/>
      <c r="I51" s="112" t="s">
        <v>840</v>
      </c>
      <c r="J51" s="240" t="s">
        <v>841</v>
      </c>
      <c r="K51" s="246" t="s">
        <v>808</v>
      </c>
      <c r="L51" s="262" t="s">
        <v>809</v>
      </c>
      <c r="M51" s="246" t="s">
        <v>810</v>
      </c>
    </row>
    <row r="52" spans="1:13">
      <c r="A52" s="246" t="s">
        <v>87</v>
      </c>
      <c r="B52" s="278" t="s">
        <v>368</v>
      </c>
      <c r="C52" s="246" t="s">
        <v>137</v>
      </c>
      <c r="D52" s="265" t="s">
        <v>62</v>
      </c>
      <c r="E52" s="272" t="s">
        <v>842</v>
      </c>
      <c r="F52" s="398" t="s">
        <v>843</v>
      </c>
      <c r="G52" s="397">
        <v>3128149782</v>
      </c>
      <c r="H52" s="113"/>
      <c r="I52" s="113" t="s">
        <v>844</v>
      </c>
      <c r="J52" s="240" t="s">
        <v>845</v>
      </c>
      <c r="K52" s="256" t="s">
        <v>788</v>
      </c>
      <c r="L52" s="240" t="s">
        <v>789</v>
      </c>
      <c r="M52" s="262">
        <v>3212354912</v>
      </c>
    </row>
    <row r="53" spans="1:13">
      <c r="A53" s="246" t="s">
        <v>87</v>
      </c>
      <c r="B53" s="246" t="s">
        <v>846</v>
      </c>
      <c r="C53" s="246" t="s">
        <v>60</v>
      </c>
      <c r="D53" s="246" t="s">
        <v>297</v>
      </c>
      <c r="E53" s="272" t="s">
        <v>847</v>
      </c>
      <c r="F53" s="398" t="s">
        <v>848</v>
      </c>
      <c r="G53" s="397">
        <v>3168717711</v>
      </c>
      <c r="H53" s="116"/>
      <c r="I53" s="116" t="s">
        <v>849</v>
      </c>
      <c r="J53" s="240" t="s">
        <v>850</v>
      </c>
      <c r="K53" s="256" t="s">
        <v>788</v>
      </c>
      <c r="L53" s="240" t="s">
        <v>789</v>
      </c>
      <c r="M53" s="262">
        <v>3212354912</v>
      </c>
    </row>
    <row r="54" spans="1:13" ht="21.75" customHeight="1">
      <c r="A54" s="246" t="s">
        <v>87</v>
      </c>
      <c r="B54" s="246" t="s">
        <v>851</v>
      </c>
      <c r="C54" s="246" t="s">
        <v>60</v>
      </c>
      <c r="D54" s="279" t="s">
        <v>62</v>
      </c>
      <c r="E54" s="112" t="s">
        <v>852</v>
      </c>
      <c r="F54" s="249" t="s">
        <v>853</v>
      </c>
      <c r="G54" s="247" t="s">
        <v>854</v>
      </c>
      <c r="H54" s="248"/>
      <c r="I54" s="112">
        <v>3319400</v>
      </c>
      <c r="J54" s="240" t="s">
        <v>855</v>
      </c>
      <c r="K54" s="256" t="s">
        <v>823</v>
      </c>
      <c r="L54" s="240" t="s">
        <v>824</v>
      </c>
      <c r="M54" s="262" t="s">
        <v>825</v>
      </c>
    </row>
    <row r="55" spans="1:13">
      <c r="A55" s="246" t="s">
        <v>87</v>
      </c>
      <c r="B55" s="278" t="s">
        <v>856</v>
      </c>
      <c r="C55" s="246" t="s">
        <v>137</v>
      </c>
      <c r="D55" s="246" t="s">
        <v>297</v>
      </c>
      <c r="E55" s="272" t="s">
        <v>857</v>
      </c>
      <c r="F55" s="398" t="s">
        <v>858</v>
      </c>
      <c r="G55" s="397">
        <v>3104115984</v>
      </c>
      <c r="H55" s="113"/>
      <c r="I55" s="113" t="s">
        <v>859</v>
      </c>
      <c r="J55" s="240" t="s">
        <v>860</v>
      </c>
      <c r="K55" s="256" t="s">
        <v>788</v>
      </c>
      <c r="L55" s="240" t="s">
        <v>789</v>
      </c>
      <c r="M55" s="262">
        <v>3212354912</v>
      </c>
    </row>
    <row r="56" spans="1:13">
      <c r="A56" s="246" t="s">
        <v>87</v>
      </c>
      <c r="B56" s="246" t="s">
        <v>861</v>
      </c>
      <c r="C56" s="246" t="s">
        <v>302</v>
      </c>
      <c r="D56" s="246" t="s">
        <v>297</v>
      </c>
      <c r="E56" s="112" t="s">
        <v>862</v>
      </c>
      <c r="F56" s="247" t="s">
        <v>863</v>
      </c>
      <c r="G56" s="247" t="s">
        <v>864</v>
      </c>
      <c r="H56" s="248"/>
      <c r="I56" s="112" t="s">
        <v>865</v>
      </c>
      <c r="J56" s="240" t="s">
        <v>866</v>
      </c>
      <c r="K56" s="246" t="s">
        <v>796</v>
      </c>
      <c r="L56" s="246" t="s">
        <v>797</v>
      </c>
      <c r="M56" s="246">
        <v>3168785276</v>
      </c>
    </row>
    <row r="57" spans="1:13">
      <c r="A57" s="246" t="s">
        <v>87</v>
      </c>
      <c r="B57" s="278" t="s">
        <v>867</v>
      </c>
      <c r="C57" s="246" t="s">
        <v>302</v>
      </c>
      <c r="D57" s="246" t="s">
        <v>297</v>
      </c>
      <c r="E57" s="116" t="s">
        <v>868</v>
      </c>
      <c r="F57" s="398" t="s">
        <v>869</v>
      </c>
      <c r="G57" s="397">
        <v>3187164797</v>
      </c>
      <c r="H57" s="116"/>
      <c r="I57" s="116" t="s">
        <v>870</v>
      </c>
      <c r="J57" s="240" t="s">
        <v>871</v>
      </c>
      <c r="K57" s="256" t="s">
        <v>788</v>
      </c>
      <c r="L57" s="240" t="s">
        <v>789</v>
      </c>
      <c r="M57" s="246">
        <v>3168785276</v>
      </c>
    </row>
    <row r="58" spans="1:13">
      <c r="A58" s="256" t="s">
        <v>87</v>
      </c>
      <c r="B58" s="256" t="s">
        <v>872</v>
      </c>
      <c r="C58" s="256" t="s">
        <v>60</v>
      </c>
      <c r="D58" s="256" t="s">
        <v>62</v>
      </c>
      <c r="E58" s="114" t="s">
        <v>873</v>
      </c>
      <c r="F58" s="250" t="s">
        <v>874</v>
      </c>
      <c r="G58" s="250" t="s">
        <v>875</v>
      </c>
      <c r="H58" s="251"/>
      <c r="I58" s="114" t="s">
        <v>876</v>
      </c>
      <c r="J58" s="240" t="s">
        <v>877</v>
      </c>
      <c r="K58" s="256" t="s">
        <v>878</v>
      </c>
      <c r="L58" s="405" t="s">
        <v>879</v>
      </c>
      <c r="M58" s="256" t="s">
        <v>880</v>
      </c>
    </row>
    <row r="59" spans="1:13">
      <c r="A59" s="246" t="s">
        <v>87</v>
      </c>
      <c r="B59" s="278" t="s">
        <v>100</v>
      </c>
      <c r="C59" s="246" t="s">
        <v>137</v>
      </c>
      <c r="D59" s="246" t="s">
        <v>62</v>
      </c>
      <c r="E59" s="116" t="s">
        <v>881</v>
      </c>
      <c r="F59" s="398" t="s">
        <v>882</v>
      </c>
      <c r="G59" s="397">
        <v>3178005503</v>
      </c>
      <c r="H59" s="116"/>
      <c r="I59" s="280" t="s">
        <v>883</v>
      </c>
      <c r="J59" s="240" t="s">
        <v>884</v>
      </c>
      <c r="K59" s="256" t="s">
        <v>788</v>
      </c>
      <c r="L59" s="240" t="s">
        <v>789</v>
      </c>
      <c r="M59" s="262">
        <v>3212354912</v>
      </c>
    </row>
    <row r="60" spans="1:13">
      <c r="A60" s="246" t="s">
        <v>87</v>
      </c>
      <c r="B60" s="246" t="s">
        <v>885</v>
      </c>
      <c r="C60" s="246" t="s">
        <v>60</v>
      </c>
      <c r="D60" s="246" t="s">
        <v>62</v>
      </c>
      <c r="E60" s="272" t="s">
        <v>589</v>
      </c>
      <c r="F60" s="281" t="s">
        <v>886</v>
      </c>
      <c r="G60" s="272" t="s">
        <v>887</v>
      </c>
      <c r="H60" s="272" t="s">
        <v>888</v>
      </c>
      <c r="I60" s="282" t="s">
        <v>889</v>
      </c>
      <c r="J60" s="240" t="s">
        <v>890</v>
      </c>
      <c r="K60" s="256" t="s">
        <v>891</v>
      </c>
      <c r="L60" s="246" t="s">
        <v>592</v>
      </c>
      <c r="M60" s="246">
        <v>3176352332</v>
      </c>
    </row>
    <row r="61" spans="1:13">
      <c r="A61" s="246" t="s">
        <v>87</v>
      </c>
      <c r="B61" s="246" t="s">
        <v>340</v>
      </c>
      <c r="C61" s="246" t="s">
        <v>60</v>
      </c>
      <c r="D61" s="246" t="s">
        <v>297</v>
      </c>
      <c r="E61" s="116" t="s">
        <v>892</v>
      </c>
      <c r="F61" s="116" t="s">
        <v>893</v>
      </c>
      <c r="G61" s="116">
        <v>3174304561</v>
      </c>
      <c r="H61" s="116"/>
      <c r="I61" s="116" t="s">
        <v>894</v>
      </c>
      <c r="J61" s="240" t="s">
        <v>895</v>
      </c>
      <c r="K61" s="256" t="s">
        <v>788</v>
      </c>
      <c r="L61" s="240" t="s">
        <v>789</v>
      </c>
      <c r="M61" s="262">
        <v>3212354912</v>
      </c>
    </row>
    <row r="62" spans="1:13">
      <c r="A62" s="246" t="s">
        <v>87</v>
      </c>
      <c r="B62" s="246" t="s">
        <v>90</v>
      </c>
      <c r="C62" s="246" t="s">
        <v>60</v>
      </c>
      <c r="D62" s="246" t="s">
        <v>297</v>
      </c>
      <c r="E62" s="116" t="s">
        <v>896</v>
      </c>
      <c r="F62" s="398" t="s">
        <v>897</v>
      </c>
      <c r="G62" s="397">
        <v>3188833979</v>
      </c>
      <c r="H62" s="116"/>
      <c r="I62" s="116" t="s">
        <v>898</v>
      </c>
      <c r="J62" s="240" t="s">
        <v>899</v>
      </c>
      <c r="K62" s="256" t="s">
        <v>788</v>
      </c>
      <c r="L62" s="240" t="s">
        <v>789</v>
      </c>
      <c r="M62" s="262">
        <v>3212354912</v>
      </c>
    </row>
    <row r="63" spans="1:13">
      <c r="A63" s="246" t="s">
        <v>87</v>
      </c>
      <c r="B63" s="246" t="s">
        <v>98</v>
      </c>
      <c r="C63" s="246" t="s">
        <v>60</v>
      </c>
      <c r="D63" s="246" t="s">
        <v>297</v>
      </c>
      <c r="E63" s="116" t="s">
        <v>900</v>
      </c>
      <c r="F63" s="116" t="s">
        <v>901</v>
      </c>
      <c r="G63" s="116"/>
      <c r="H63" s="116"/>
      <c r="I63" s="116" t="s">
        <v>902</v>
      </c>
      <c r="J63" s="240" t="s">
        <v>903</v>
      </c>
      <c r="K63" s="256" t="s">
        <v>788</v>
      </c>
      <c r="L63" s="240" t="s">
        <v>789</v>
      </c>
      <c r="M63" s="262">
        <v>3212354912</v>
      </c>
    </row>
    <row r="64" spans="1:13">
      <c r="A64" s="246" t="s">
        <v>87</v>
      </c>
      <c r="B64" s="246" t="s">
        <v>904</v>
      </c>
      <c r="C64" s="246" t="s">
        <v>60</v>
      </c>
      <c r="D64" s="246" t="s">
        <v>297</v>
      </c>
      <c r="E64" s="116" t="s">
        <v>905</v>
      </c>
      <c r="F64" s="116" t="s">
        <v>906</v>
      </c>
      <c r="G64" s="397">
        <v>3153969891</v>
      </c>
      <c r="H64" s="116"/>
      <c r="I64" s="116" t="s">
        <v>907</v>
      </c>
      <c r="J64" s="240" t="s">
        <v>908</v>
      </c>
      <c r="K64" s="256" t="s">
        <v>788</v>
      </c>
      <c r="L64" s="240" t="s">
        <v>789</v>
      </c>
      <c r="M64" s="262">
        <v>3212354912</v>
      </c>
    </row>
    <row r="65" spans="1:13">
      <c r="A65" s="246" t="s">
        <v>87</v>
      </c>
      <c r="B65" s="246" t="s">
        <v>909</v>
      </c>
      <c r="C65" s="246" t="s">
        <v>60</v>
      </c>
      <c r="D65" s="246" t="s">
        <v>297</v>
      </c>
      <c r="E65" s="116" t="s">
        <v>910</v>
      </c>
      <c r="F65" s="398" t="s">
        <v>911</v>
      </c>
      <c r="G65" s="397">
        <v>3187118911</v>
      </c>
      <c r="H65" s="116"/>
      <c r="I65" s="116" t="s">
        <v>912</v>
      </c>
      <c r="J65" s="240" t="s">
        <v>913</v>
      </c>
      <c r="K65" s="256" t="s">
        <v>788</v>
      </c>
      <c r="L65" s="240" t="s">
        <v>789</v>
      </c>
      <c r="M65" s="262">
        <v>3212354912</v>
      </c>
    </row>
    <row r="66" spans="1:13">
      <c r="A66" s="246" t="s">
        <v>87</v>
      </c>
      <c r="B66" s="246" t="s">
        <v>370</v>
      </c>
      <c r="C66" s="246" t="s">
        <v>60</v>
      </c>
      <c r="D66" s="246" t="s">
        <v>297</v>
      </c>
      <c r="E66" s="116" t="s">
        <v>914</v>
      </c>
      <c r="F66" s="398" t="s">
        <v>915</v>
      </c>
      <c r="G66" s="397">
        <v>3156705393</v>
      </c>
      <c r="H66" s="116"/>
      <c r="I66" s="116" t="s">
        <v>916</v>
      </c>
      <c r="J66" s="240" t="s">
        <v>917</v>
      </c>
      <c r="K66" s="256" t="s">
        <v>788</v>
      </c>
      <c r="L66" s="240" t="s">
        <v>789</v>
      </c>
      <c r="M66" s="262">
        <v>3212354912</v>
      </c>
    </row>
    <row r="67" spans="1:13">
      <c r="A67" s="246" t="s">
        <v>87</v>
      </c>
      <c r="B67" s="246" t="s">
        <v>918</v>
      </c>
      <c r="C67" s="246" t="s">
        <v>60</v>
      </c>
      <c r="D67" s="246" t="s">
        <v>297</v>
      </c>
      <c r="E67" s="116" t="s">
        <v>919</v>
      </c>
      <c r="F67" s="398" t="s">
        <v>920</v>
      </c>
      <c r="G67" s="397">
        <v>3183505271</v>
      </c>
      <c r="H67" s="116"/>
      <c r="I67" s="116" t="s">
        <v>921</v>
      </c>
      <c r="J67" s="240" t="s">
        <v>922</v>
      </c>
      <c r="K67" s="256" t="s">
        <v>788</v>
      </c>
      <c r="L67" s="240" t="s">
        <v>789</v>
      </c>
      <c r="M67" s="262">
        <v>3212354912</v>
      </c>
    </row>
    <row r="68" spans="1:13">
      <c r="A68" s="246" t="s">
        <v>87</v>
      </c>
      <c r="B68" s="278" t="s">
        <v>344</v>
      </c>
      <c r="C68" s="246" t="s">
        <v>137</v>
      </c>
      <c r="D68" s="246" t="s">
        <v>297</v>
      </c>
      <c r="E68" s="116" t="s">
        <v>923</v>
      </c>
      <c r="F68" s="398" t="s">
        <v>924</v>
      </c>
      <c r="G68" s="397">
        <v>3162495995</v>
      </c>
      <c r="H68" s="116"/>
      <c r="I68" s="116" t="s">
        <v>925</v>
      </c>
      <c r="J68" s="240" t="s">
        <v>926</v>
      </c>
      <c r="K68" s="256" t="s">
        <v>788</v>
      </c>
      <c r="L68" s="240" t="s">
        <v>789</v>
      </c>
      <c r="M68" s="262">
        <v>3212354912</v>
      </c>
    </row>
    <row r="69" spans="1:13" ht="22.5" customHeight="1">
      <c r="A69" s="246" t="s">
        <v>87</v>
      </c>
      <c r="B69" s="246" t="s">
        <v>927</v>
      </c>
      <c r="C69" s="246" t="s">
        <v>60</v>
      </c>
      <c r="D69" s="246" t="s">
        <v>297</v>
      </c>
      <c r="E69" s="112" t="s">
        <v>928</v>
      </c>
      <c r="F69" s="247" t="s">
        <v>929</v>
      </c>
      <c r="G69" s="247" t="s">
        <v>930</v>
      </c>
      <c r="H69" s="248"/>
      <c r="I69" s="115" t="s">
        <v>931</v>
      </c>
      <c r="J69" s="240" t="s">
        <v>932</v>
      </c>
      <c r="K69" s="256" t="s">
        <v>627</v>
      </c>
      <c r="L69" s="240" t="s">
        <v>628</v>
      </c>
      <c r="M69" s="262">
        <v>3212354912</v>
      </c>
    </row>
    <row r="70" spans="1:13">
      <c r="A70" s="246" t="s">
        <v>87</v>
      </c>
      <c r="B70" s="246" t="s">
        <v>164</v>
      </c>
      <c r="C70" s="246" t="s">
        <v>60</v>
      </c>
      <c r="D70" s="246" t="s">
        <v>297</v>
      </c>
      <c r="E70" s="116" t="s">
        <v>933</v>
      </c>
      <c r="F70" s="116" t="s">
        <v>934</v>
      </c>
      <c r="G70" s="116">
        <v>3156128955</v>
      </c>
      <c r="H70" s="116"/>
      <c r="I70" s="116" t="s">
        <v>935</v>
      </c>
      <c r="J70" s="240" t="s">
        <v>936</v>
      </c>
      <c r="K70" s="256" t="s">
        <v>788</v>
      </c>
      <c r="L70" s="240" t="s">
        <v>789</v>
      </c>
      <c r="M70" s="262">
        <v>3212354912</v>
      </c>
    </row>
    <row r="71" spans="1:13">
      <c r="A71" s="246" t="s">
        <v>87</v>
      </c>
      <c r="B71" s="246" t="s">
        <v>937</v>
      </c>
      <c r="C71" s="246" t="s">
        <v>60</v>
      </c>
      <c r="D71" s="246" t="s">
        <v>297</v>
      </c>
      <c r="E71" s="112" t="s">
        <v>938</v>
      </c>
      <c r="F71" s="247" t="s">
        <v>939</v>
      </c>
      <c r="G71" s="247">
        <v>3156128955</v>
      </c>
      <c r="H71" s="248"/>
      <c r="I71" s="112" t="s">
        <v>940</v>
      </c>
      <c r="J71" s="240" t="s">
        <v>941</v>
      </c>
      <c r="K71" s="246" t="s">
        <v>808</v>
      </c>
      <c r="L71" s="262" t="s">
        <v>809</v>
      </c>
      <c r="M71" s="246" t="s">
        <v>810</v>
      </c>
    </row>
    <row r="72" spans="1:13">
      <c r="A72" s="246" t="s">
        <v>87</v>
      </c>
      <c r="B72" s="278" t="s">
        <v>366</v>
      </c>
      <c r="C72" s="246" t="s">
        <v>137</v>
      </c>
      <c r="D72" s="246" t="s">
        <v>297</v>
      </c>
      <c r="E72" s="113" t="s">
        <v>942</v>
      </c>
      <c r="F72" s="398" t="s">
        <v>943</v>
      </c>
      <c r="G72" s="397">
        <v>3174347806</v>
      </c>
      <c r="H72" s="116"/>
      <c r="I72" s="283" t="s">
        <v>944</v>
      </c>
      <c r="J72" s="240" t="s">
        <v>945</v>
      </c>
      <c r="K72" s="256" t="s">
        <v>788</v>
      </c>
      <c r="L72" s="240" t="s">
        <v>789</v>
      </c>
      <c r="M72" s="262">
        <v>3212354912</v>
      </c>
    </row>
    <row r="73" spans="1:13">
      <c r="A73" s="246" t="s">
        <v>87</v>
      </c>
      <c r="B73" s="278" t="s">
        <v>169</v>
      </c>
      <c r="C73" s="246" t="s">
        <v>60</v>
      </c>
      <c r="D73" s="246" t="s">
        <v>297</v>
      </c>
      <c r="E73" s="116" t="s">
        <v>946</v>
      </c>
      <c r="F73" s="116" t="s">
        <v>947</v>
      </c>
      <c r="G73" s="116">
        <v>3116366608</v>
      </c>
      <c r="H73" s="116"/>
      <c r="I73" s="116">
        <v>3116366608</v>
      </c>
      <c r="J73" s="240" t="s">
        <v>948</v>
      </c>
      <c r="K73" s="256" t="s">
        <v>788</v>
      </c>
      <c r="L73" s="240" t="s">
        <v>789</v>
      </c>
      <c r="M73" s="262">
        <v>3212354912</v>
      </c>
    </row>
    <row r="74" spans="1:13">
      <c r="A74" s="246" t="s">
        <v>87</v>
      </c>
      <c r="B74" s="246" t="s">
        <v>362</v>
      </c>
      <c r="C74" s="246" t="s">
        <v>60</v>
      </c>
      <c r="D74" s="246" t="s">
        <v>297</v>
      </c>
      <c r="E74" s="116" t="s">
        <v>949</v>
      </c>
      <c r="F74" s="116" t="s">
        <v>950</v>
      </c>
      <c r="G74" s="116">
        <v>3167473583</v>
      </c>
      <c r="H74" s="116"/>
      <c r="I74" s="116" t="s">
        <v>951</v>
      </c>
      <c r="J74" s="240" t="s">
        <v>952</v>
      </c>
      <c r="K74" s="256" t="s">
        <v>788</v>
      </c>
      <c r="L74" s="240" t="s">
        <v>789</v>
      </c>
      <c r="M74" s="262">
        <v>3212354912</v>
      </c>
    </row>
    <row r="75" spans="1:13">
      <c r="A75" s="246" t="s">
        <v>87</v>
      </c>
      <c r="B75" s="246" t="s">
        <v>953</v>
      </c>
      <c r="C75" s="246" t="s">
        <v>60</v>
      </c>
      <c r="D75" s="246" t="s">
        <v>297</v>
      </c>
      <c r="E75" s="116" t="s">
        <v>954</v>
      </c>
      <c r="F75" s="116" t="s">
        <v>955</v>
      </c>
      <c r="G75" s="116">
        <v>3187082114</v>
      </c>
      <c r="H75" s="116"/>
      <c r="I75" s="116" t="s">
        <v>956</v>
      </c>
      <c r="J75" s="240" t="s">
        <v>957</v>
      </c>
      <c r="K75" s="256" t="s">
        <v>788</v>
      </c>
      <c r="L75" s="240" t="s">
        <v>789</v>
      </c>
      <c r="M75" s="262">
        <v>3212354912</v>
      </c>
    </row>
    <row r="76" spans="1:13">
      <c r="A76" s="246" t="s">
        <v>87</v>
      </c>
      <c r="B76" s="246" t="s">
        <v>958</v>
      </c>
      <c r="C76" s="246" t="s">
        <v>60</v>
      </c>
      <c r="D76" s="246" t="s">
        <v>297</v>
      </c>
      <c r="E76" s="115" t="s">
        <v>959</v>
      </c>
      <c r="F76" s="247" t="s">
        <v>960</v>
      </c>
      <c r="G76" s="247" t="s">
        <v>961</v>
      </c>
      <c r="H76" s="248"/>
      <c r="I76" s="112" t="s">
        <v>962</v>
      </c>
      <c r="J76" s="240" t="s">
        <v>963</v>
      </c>
      <c r="K76" s="256" t="s">
        <v>823</v>
      </c>
      <c r="L76" s="240" t="s">
        <v>824</v>
      </c>
      <c r="M76" s="262" t="s">
        <v>825</v>
      </c>
    </row>
    <row r="77" spans="1:13">
      <c r="A77" s="246" t="s">
        <v>87</v>
      </c>
      <c r="B77" s="246" t="s">
        <v>102</v>
      </c>
      <c r="C77" s="246" t="s">
        <v>60</v>
      </c>
      <c r="D77" s="246" t="s">
        <v>297</v>
      </c>
      <c r="E77" s="116" t="s">
        <v>964</v>
      </c>
      <c r="F77" s="398" t="s">
        <v>965</v>
      </c>
      <c r="G77" s="397">
        <v>3184721448</v>
      </c>
      <c r="H77" s="116"/>
      <c r="I77" s="116" t="s">
        <v>966</v>
      </c>
      <c r="J77" s="240" t="s">
        <v>967</v>
      </c>
      <c r="K77" s="256" t="s">
        <v>788</v>
      </c>
      <c r="L77" s="240" t="s">
        <v>789</v>
      </c>
      <c r="M77" s="262">
        <v>3212354912</v>
      </c>
    </row>
    <row r="78" spans="1:13">
      <c r="A78" s="246" t="s">
        <v>87</v>
      </c>
      <c r="B78" s="246" t="s">
        <v>968</v>
      </c>
      <c r="C78" s="246" t="s">
        <v>60</v>
      </c>
      <c r="D78" s="246" t="s">
        <v>297</v>
      </c>
      <c r="E78" s="113" t="s">
        <v>969</v>
      </c>
      <c r="F78" s="113" t="s">
        <v>970</v>
      </c>
      <c r="G78" s="113">
        <v>3128167377</v>
      </c>
      <c r="H78" s="116"/>
      <c r="I78" s="113" t="s">
        <v>971</v>
      </c>
      <c r="J78" s="240" t="s">
        <v>972</v>
      </c>
      <c r="K78" s="256" t="s">
        <v>788</v>
      </c>
      <c r="L78" s="240" t="s">
        <v>789</v>
      </c>
      <c r="M78" s="262">
        <v>3212354912</v>
      </c>
    </row>
    <row r="79" spans="1:13">
      <c r="A79" s="119" t="s">
        <v>87</v>
      </c>
      <c r="B79" s="119" t="s">
        <v>973</v>
      </c>
      <c r="C79" s="119" t="s">
        <v>78</v>
      </c>
      <c r="D79" s="119" t="s">
        <v>297</v>
      </c>
      <c r="E79" s="260" t="s">
        <v>974</v>
      </c>
      <c r="F79" s="260" t="s">
        <v>975</v>
      </c>
      <c r="G79" s="260">
        <v>3157208058</v>
      </c>
      <c r="H79" s="284"/>
      <c r="I79" s="260" t="s">
        <v>976</v>
      </c>
      <c r="J79" s="240" t="s">
        <v>977</v>
      </c>
      <c r="K79" s="256" t="s">
        <v>627</v>
      </c>
      <c r="L79" s="240" t="s">
        <v>628</v>
      </c>
      <c r="M79" s="262">
        <v>3212354912</v>
      </c>
    </row>
    <row r="80" spans="1:13">
      <c r="A80" s="246" t="s">
        <v>87</v>
      </c>
      <c r="B80" s="246" t="s">
        <v>978</v>
      </c>
      <c r="C80" s="246" t="s">
        <v>60</v>
      </c>
      <c r="D80" s="246" t="s">
        <v>297</v>
      </c>
      <c r="E80" s="116" t="s">
        <v>979</v>
      </c>
      <c r="F80" s="398" t="s">
        <v>980</v>
      </c>
      <c r="G80" s="397">
        <v>3125048909</v>
      </c>
      <c r="H80" s="116"/>
      <c r="I80" s="116" t="s">
        <v>981</v>
      </c>
      <c r="J80" s="240" t="s">
        <v>982</v>
      </c>
      <c r="K80" s="256" t="s">
        <v>788</v>
      </c>
      <c r="L80" s="240" t="s">
        <v>789</v>
      </c>
      <c r="M80" s="262">
        <v>3212354912</v>
      </c>
    </row>
    <row r="81" spans="1:13">
      <c r="A81" s="246" t="s">
        <v>87</v>
      </c>
      <c r="B81" s="246" t="s">
        <v>338</v>
      </c>
      <c r="C81" s="246" t="s">
        <v>60</v>
      </c>
      <c r="D81" s="246" t="s">
        <v>297</v>
      </c>
      <c r="E81" s="116" t="s">
        <v>983</v>
      </c>
      <c r="F81" s="116" t="s">
        <v>984</v>
      </c>
      <c r="G81" s="116">
        <v>3162340199</v>
      </c>
      <c r="H81" s="116"/>
      <c r="I81" s="116" t="s">
        <v>985</v>
      </c>
      <c r="J81" s="240" t="s">
        <v>986</v>
      </c>
      <c r="K81" s="256" t="s">
        <v>788</v>
      </c>
      <c r="L81" s="240" t="s">
        <v>789</v>
      </c>
      <c r="M81" s="262">
        <v>3212354912</v>
      </c>
    </row>
    <row r="82" spans="1:13">
      <c r="A82" s="246" t="s">
        <v>87</v>
      </c>
      <c r="B82" s="246" t="s">
        <v>145</v>
      </c>
      <c r="C82" s="246" t="s">
        <v>60</v>
      </c>
      <c r="D82" s="246" t="s">
        <v>297</v>
      </c>
      <c r="E82" s="116" t="s">
        <v>987</v>
      </c>
      <c r="F82" s="116" t="s">
        <v>988</v>
      </c>
      <c r="G82" s="116">
        <v>3153114480</v>
      </c>
      <c r="H82" s="116"/>
      <c r="I82" s="116" t="s">
        <v>989</v>
      </c>
      <c r="J82" s="240" t="s">
        <v>990</v>
      </c>
      <c r="K82" s="256" t="s">
        <v>788</v>
      </c>
      <c r="L82" s="240" t="s">
        <v>789</v>
      </c>
      <c r="M82" s="262">
        <v>3212354912</v>
      </c>
    </row>
    <row r="83" spans="1:13">
      <c r="A83" s="246" t="s">
        <v>87</v>
      </c>
      <c r="B83" s="246" t="s">
        <v>221</v>
      </c>
      <c r="C83" s="246" t="s">
        <v>220</v>
      </c>
      <c r="D83" s="246" t="s">
        <v>297</v>
      </c>
      <c r="E83" s="116" t="s">
        <v>991</v>
      </c>
      <c r="F83" s="116" t="s">
        <v>992</v>
      </c>
      <c r="G83" s="116">
        <v>3164151536</v>
      </c>
      <c r="H83" s="116"/>
      <c r="I83" s="116" t="s">
        <v>993</v>
      </c>
      <c r="J83" s="240" t="s">
        <v>994</v>
      </c>
      <c r="K83" s="246" t="s">
        <v>570</v>
      </c>
      <c r="L83" s="246" t="s">
        <v>601</v>
      </c>
      <c r="M83" s="246">
        <v>3183355665</v>
      </c>
    </row>
    <row r="84" spans="1:13">
      <c r="A84" s="246" t="s">
        <v>87</v>
      </c>
      <c r="B84" s="246" t="s">
        <v>167</v>
      </c>
      <c r="C84" s="246" t="s">
        <v>60</v>
      </c>
      <c r="D84" s="246" t="s">
        <v>297</v>
      </c>
      <c r="E84" s="116" t="s">
        <v>995</v>
      </c>
      <c r="F84" s="398" t="s">
        <v>996</v>
      </c>
      <c r="G84" s="397">
        <v>3186515797</v>
      </c>
      <c r="H84" s="116"/>
      <c r="I84" s="116" t="s">
        <v>997</v>
      </c>
      <c r="J84" s="399" t="s">
        <v>998</v>
      </c>
      <c r="K84" s="256" t="s">
        <v>788</v>
      </c>
      <c r="L84" s="240" t="s">
        <v>789</v>
      </c>
      <c r="M84" s="262">
        <v>3212354912</v>
      </c>
    </row>
    <row r="85" spans="1:13">
      <c r="A85" s="246" t="s">
        <v>87</v>
      </c>
      <c r="B85" s="246" t="s">
        <v>342</v>
      </c>
      <c r="C85" s="246" t="s">
        <v>60</v>
      </c>
      <c r="D85" s="246" t="s">
        <v>297</v>
      </c>
      <c r="E85" s="116" t="s">
        <v>999</v>
      </c>
      <c r="F85" s="398" t="s">
        <v>1000</v>
      </c>
      <c r="G85" s="397">
        <v>3164648692</v>
      </c>
      <c r="H85" s="116"/>
      <c r="I85" s="116" t="s">
        <v>1001</v>
      </c>
      <c r="J85" s="240" t="s">
        <v>1002</v>
      </c>
      <c r="K85" s="256" t="s">
        <v>788</v>
      </c>
      <c r="L85" s="240" t="s">
        <v>789</v>
      </c>
      <c r="M85" s="262">
        <v>3212354912</v>
      </c>
    </row>
    <row r="86" spans="1:13">
      <c r="A86" s="246" t="s">
        <v>87</v>
      </c>
      <c r="B86" s="246" t="s">
        <v>92</v>
      </c>
      <c r="C86" s="246" t="s">
        <v>60</v>
      </c>
      <c r="D86" s="246" t="s">
        <v>297</v>
      </c>
      <c r="E86" s="116" t="s">
        <v>1003</v>
      </c>
      <c r="F86" s="398" t="s">
        <v>1004</v>
      </c>
      <c r="G86" s="397">
        <v>3174419960</v>
      </c>
      <c r="H86" s="116"/>
      <c r="I86" s="116" t="s">
        <v>1005</v>
      </c>
      <c r="J86" s="240" t="s">
        <v>1006</v>
      </c>
      <c r="K86" s="256" t="s">
        <v>788</v>
      </c>
      <c r="L86" s="240" t="s">
        <v>789</v>
      </c>
      <c r="M86" s="262">
        <v>3212354912</v>
      </c>
    </row>
    <row r="87" spans="1:13">
      <c r="A87" s="246" t="s">
        <v>87</v>
      </c>
      <c r="B87" s="246" t="s">
        <v>307</v>
      </c>
      <c r="C87" s="246" t="s">
        <v>60</v>
      </c>
      <c r="D87" s="246" t="s">
        <v>297</v>
      </c>
      <c r="E87" s="116" t="s">
        <v>1007</v>
      </c>
      <c r="F87" s="400" t="s">
        <v>1008</v>
      </c>
      <c r="G87" s="397">
        <v>3162675926</v>
      </c>
      <c r="H87" s="116"/>
      <c r="I87" s="116" t="s">
        <v>1009</v>
      </c>
      <c r="J87" s="240" t="s">
        <v>1010</v>
      </c>
      <c r="K87" s="256" t="s">
        <v>788</v>
      </c>
      <c r="L87" s="240" t="s">
        <v>789</v>
      </c>
      <c r="M87" s="262">
        <v>3212354912</v>
      </c>
    </row>
    <row r="88" spans="1:13">
      <c r="A88" s="246" t="s">
        <v>87</v>
      </c>
      <c r="B88" s="246" t="s">
        <v>312</v>
      </c>
      <c r="C88" s="246" t="s">
        <v>60</v>
      </c>
      <c r="D88" s="246" t="s">
        <v>297</v>
      </c>
      <c r="E88" s="116" t="s">
        <v>1011</v>
      </c>
      <c r="F88" s="116" t="s">
        <v>1012</v>
      </c>
      <c r="G88" s="116">
        <v>3183913821</v>
      </c>
      <c r="H88" s="116"/>
      <c r="I88" s="116" t="s">
        <v>1013</v>
      </c>
      <c r="J88" s="240" t="s">
        <v>1014</v>
      </c>
      <c r="K88" s="256" t="s">
        <v>788</v>
      </c>
      <c r="L88" s="240" t="s">
        <v>789</v>
      </c>
      <c r="M88" s="262">
        <v>3212354912</v>
      </c>
    </row>
    <row r="89" spans="1:13">
      <c r="A89" s="246" t="s">
        <v>87</v>
      </c>
      <c r="B89" s="246" t="s">
        <v>160</v>
      </c>
      <c r="C89" s="246" t="s">
        <v>60</v>
      </c>
      <c r="D89" s="246" t="s">
        <v>297</v>
      </c>
      <c r="E89" s="116" t="s">
        <v>1015</v>
      </c>
      <c r="F89" s="398" t="s">
        <v>1016</v>
      </c>
      <c r="G89" s="397">
        <v>3173680831</v>
      </c>
      <c r="H89" s="116"/>
      <c r="I89" s="116">
        <v>4851523</v>
      </c>
      <c r="J89" s="240" t="s">
        <v>1017</v>
      </c>
      <c r="K89" s="256" t="s">
        <v>788</v>
      </c>
      <c r="L89" s="240" t="s">
        <v>789</v>
      </c>
      <c r="M89" s="262">
        <v>3212354912</v>
      </c>
    </row>
    <row r="90" spans="1:13">
      <c r="A90" s="246" t="s">
        <v>87</v>
      </c>
      <c r="B90" s="246" t="s">
        <v>356</v>
      </c>
      <c r="C90" s="246" t="s">
        <v>60</v>
      </c>
      <c r="D90" s="246" t="s">
        <v>297</v>
      </c>
      <c r="E90" s="116" t="s">
        <v>1018</v>
      </c>
      <c r="F90" s="116" t="s">
        <v>1019</v>
      </c>
      <c r="G90" s="116">
        <v>3183888411</v>
      </c>
      <c r="H90" s="116"/>
      <c r="I90" s="116" t="s">
        <v>1020</v>
      </c>
      <c r="J90" s="240" t="s">
        <v>1021</v>
      </c>
      <c r="K90" s="256" t="s">
        <v>788</v>
      </c>
      <c r="L90" s="240" t="s">
        <v>789</v>
      </c>
      <c r="M90" s="262">
        <v>3212354912</v>
      </c>
    </row>
    <row r="91" spans="1:13">
      <c r="A91" s="246" t="s">
        <v>87</v>
      </c>
      <c r="B91" s="246" t="s">
        <v>1022</v>
      </c>
      <c r="C91" s="246" t="s">
        <v>60</v>
      </c>
      <c r="D91" s="246" t="s">
        <v>297</v>
      </c>
      <c r="E91" s="112" t="s">
        <v>1023</v>
      </c>
      <c r="F91" s="247" t="s">
        <v>1024</v>
      </c>
      <c r="G91" s="247" t="s">
        <v>1025</v>
      </c>
      <c r="H91" s="248"/>
      <c r="I91" s="112" t="s">
        <v>1026</v>
      </c>
      <c r="J91" s="240" t="s">
        <v>1027</v>
      </c>
      <c r="K91" s="246" t="s">
        <v>796</v>
      </c>
      <c r="L91" s="246" t="s">
        <v>797</v>
      </c>
      <c r="M91" s="246">
        <v>3168785276</v>
      </c>
    </row>
    <row r="92" spans="1:13">
      <c r="A92" s="246" t="s">
        <v>87</v>
      </c>
      <c r="B92" s="246" t="s">
        <v>143</v>
      </c>
      <c r="C92" s="246" t="s">
        <v>60</v>
      </c>
      <c r="D92" s="246" t="s">
        <v>297</v>
      </c>
      <c r="E92" s="116" t="s">
        <v>1028</v>
      </c>
      <c r="F92" s="116" t="s">
        <v>1029</v>
      </c>
      <c r="G92" s="116">
        <v>3173680825</v>
      </c>
      <c r="H92" s="116" t="s">
        <v>1030</v>
      </c>
      <c r="I92" s="116">
        <v>5553798</v>
      </c>
      <c r="J92" s="240" t="s">
        <v>1031</v>
      </c>
      <c r="K92" s="256" t="s">
        <v>788</v>
      </c>
      <c r="L92" s="240" t="s">
        <v>789</v>
      </c>
      <c r="M92" s="262">
        <v>3212354912</v>
      </c>
    </row>
    <row r="93" spans="1:13">
      <c r="A93" s="246" t="s">
        <v>87</v>
      </c>
      <c r="B93" s="246" t="s">
        <v>1032</v>
      </c>
      <c r="C93" s="246" t="s">
        <v>60</v>
      </c>
      <c r="D93" s="246" t="s">
        <v>297</v>
      </c>
      <c r="E93" s="116" t="s">
        <v>1033</v>
      </c>
      <c r="F93" s="116" t="s">
        <v>1034</v>
      </c>
      <c r="G93" s="116">
        <v>3167526291</v>
      </c>
      <c r="H93" s="116"/>
      <c r="I93" s="116" t="s">
        <v>1035</v>
      </c>
      <c r="J93" s="240" t="s">
        <v>1036</v>
      </c>
      <c r="K93" s="256" t="s">
        <v>788</v>
      </c>
      <c r="L93" s="240" t="s">
        <v>789</v>
      </c>
      <c r="M93" s="262">
        <v>3212354912</v>
      </c>
    </row>
    <row r="94" spans="1:13">
      <c r="A94" s="246" t="s">
        <v>87</v>
      </c>
      <c r="B94" s="246" t="s">
        <v>350</v>
      </c>
      <c r="C94" s="246" t="s">
        <v>60</v>
      </c>
      <c r="D94" s="246" t="s">
        <v>297</v>
      </c>
      <c r="E94" s="116" t="s">
        <v>1037</v>
      </c>
      <c r="F94" s="116" t="s">
        <v>1038</v>
      </c>
      <c r="G94" s="116">
        <v>3162820107</v>
      </c>
      <c r="H94" s="116"/>
      <c r="I94" s="116" t="s">
        <v>1039</v>
      </c>
      <c r="J94" s="240" t="s">
        <v>1040</v>
      </c>
      <c r="K94" s="256" t="s">
        <v>788</v>
      </c>
      <c r="L94" s="240" t="s">
        <v>789</v>
      </c>
      <c r="M94" s="262">
        <v>3212354912</v>
      </c>
    </row>
    <row r="95" spans="1:13">
      <c r="A95" s="246" t="s">
        <v>87</v>
      </c>
      <c r="B95" s="246" t="s">
        <v>1041</v>
      </c>
      <c r="C95" s="246" t="s">
        <v>60</v>
      </c>
      <c r="D95" s="246" t="s">
        <v>297</v>
      </c>
      <c r="E95" s="116" t="s">
        <v>1042</v>
      </c>
      <c r="F95" s="116" t="s">
        <v>1043</v>
      </c>
      <c r="G95" s="116">
        <v>3188878483</v>
      </c>
      <c r="H95" s="116"/>
      <c r="I95" s="116" t="s">
        <v>1044</v>
      </c>
      <c r="J95" s="240" t="s">
        <v>1045</v>
      </c>
      <c r="K95" s="256" t="s">
        <v>788</v>
      </c>
      <c r="L95" s="240" t="s">
        <v>789</v>
      </c>
      <c r="M95" s="262">
        <v>3212354912</v>
      </c>
    </row>
    <row r="96" spans="1:13">
      <c r="A96" s="246" t="s">
        <v>87</v>
      </c>
      <c r="B96" s="246" t="s">
        <v>332</v>
      </c>
      <c r="C96" s="246" t="s">
        <v>60</v>
      </c>
      <c r="D96" s="246" t="s">
        <v>297</v>
      </c>
      <c r="E96" s="116" t="s">
        <v>1046</v>
      </c>
      <c r="F96" s="398" t="s">
        <v>1047</v>
      </c>
      <c r="G96" s="397">
        <v>3187488725</v>
      </c>
      <c r="H96" s="116"/>
      <c r="I96" s="116" t="s">
        <v>1048</v>
      </c>
      <c r="J96" s="240" t="s">
        <v>1049</v>
      </c>
      <c r="K96" s="256" t="s">
        <v>788</v>
      </c>
      <c r="L96" s="240" t="s">
        <v>789</v>
      </c>
      <c r="M96" s="262">
        <v>3212354912</v>
      </c>
    </row>
    <row r="97" spans="1:13">
      <c r="A97" s="246" t="s">
        <v>87</v>
      </c>
      <c r="B97" s="246" t="s">
        <v>358</v>
      </c>
      <c r="C97" s="246" t="s">
        <v>60</v>
      </c>
      <c r="D97" s="246" t="s">
        <v>297</v>
      </c>
      <c r="E97" s="116" t="s">
        <v>1050</v>
      </c>
      <c r="F97" s="116"/>
      <c r="G97" s="116">
        <v>3174407656</v>
      </c>
      <c r="H97" s="116"/>
      <c r="I97" s="116" t="s">
        <v>1051</v>
      </c>
      <c r="J97" s="240" t="s">
        <v>1052</v>
      </c>
      <c r="K97" s="256" t="s">
        <v>788</v>
      </c>
      <c r="L97" s="240" t="s">
        <v>789</v>
      </c>
      <c r="M97" s="262">
        <v>3212354912</v>
      </c>
    </row>
    <row r="98" spans="1:13">
      <c r="A98" s="246" t="s">
        <v>87</v>
      </c>
      <c r="B98" s="246" t="s">
        <v>321</v>
      </c>
      <c r="C98" s="246" t="s">
        <v>60</v>
      </c>
      <c r="D98" s="246" t="s">
        <v>297</v>
      </c>
      <c r="E98" s="116" t="s">
        <v>1053</v>
      </c>
      <c r="F98" s="398" t="s">
        <v>1054</v>
      </c>
      <c r="G98" s="397">
        <v>3186601814</v>
      </c>
      <c r="H98" s="116"/>
      <c r="I98" s="116" t="s">
        <v>1055</v>
      </c>
      <c r="J98" s="240" t="s">
        <v>1056</v>
      </c>
      <c r="K98" s="256" t="s">
        <v>788</v>
      </c>
      <c r="L98" s="240" t="s">
        <v>789</v>
      </c>
      <c r="M98" s="262">
        <v>3212354912</v>
      </c>
    </row>
    <row r="99" spans="1:13">
      <c r="A99" s="246" t="s">
        <v>87</v>
      </c>
      <c r="B99" s="278" t="s">
        <v>148</v>
      </c>
      <c r="C99" s="246" t="s">
        <v>137</v>
      </c>
      <c r="D99" s="246" t="s">
        <v>297</v>
      </c>
      <c r="E99" s="272" t="s">
        <v>1057</v>
      </c>
      <c r="F99" s="398" t="s">
        <v>1058</v>
      </c>
      <c r="G99" s="397">
        <v>3125782946</v>
      </c>
      <c r="H99" s="272"/>
      <c r="I99" s="272" t="s">
        <v>1059</v>
      </c>
      <c r="J99" s="240" t="s">
        <v>1060</v>
      </c>
      <c r="K99" s="256" t="s">
        <v>788</v>
      </c>
      <c r="L99" s="240" t="s">
        <v>789</v>
      </c>
      <c r="M99" s="262">
        <v>3212354912</v>
      </c>
    </row>
    <row r="100" spans="1:13">
      <c r="A100" s="246" t="s">
        <v>87</v>
      </c>
      <c r="B100" s="278" t="s">
        <v>1061</v>
      </c>
      <c r="C100" s="246" t="s">
        <v>137</v>
      </c>
      <c r="D100" s="246" t="s">
        <v>297</v>
      </c>
      <c r="E100" s="272" t="s">
        <v>1062</v>
      </c>
      <c r="F100" s="398" t="s">
        <v>1063</v>
      </c>
      <c r="G100" s="397">
        <v>3163117533</v>
      </c>
      <c r="H100" s="272"/>
      <c r="I100" s="272"/>
      <c r="J100" s="240" t="s">
        <v>1064</v>
      </c>
      <c r="K100" s="256" t="s">
        <v>788</v>
      </c>
      <c r="L100" s="240" t="s">
        <v>789</v>
      </c>
      <c r="M100" s="262">
        <v>3212354912</v>
      </c>
    </row>
    <row r="101" spans="1:13">
      <c r="A101" s="246" t="s">
        <v>87</v>
      </c>
      <c r="B101" s="278" t="s">
        <v>305</v>
      </c>
      <c r="C101" s="246" t="s">
        <v>302</v>
      </c>
      <c r="D101" s="246" t="s">
        <v>297</v>
      </c>
      <c r="E101" s="116" t="s">
        <v>1065</v>
      </c>
      <c r="F101" s="398" t="s">
        <v>1066</v>
      </c>
      <c r="G101" s="397">
        <v>3173804651</v>
      </c>
      <c r="H101" s="116"/>
      <c r="I101" s="116" t="s">
        <v>1067</v>
      </c>
      <c r="J101" s="240" t="s">
        <v>1068</v>
      </c>
      <c r="K101" s="256" t="s">
        <v>788</v>
      </c>
      <c r="L101" s="240" t="s">
        <v>789</v>
      </c>
      <c r="M101" s="246">
        <v>3168785276</v>
      </c>
    </row>
    <row r="102" spans="1:13">
      <c r="A102" s="246" t="s">
        <v>87</v>
      </c>
      <c r="B102" s="278" t="s">
        <v>1069</v>
      </c>
      <c r="C102" s="246" t="s">
        <v>137</v>
      </c>
      <c r="D102" s="246" t="s">
        <v>297</v>
      </c>
      <c r="E102" s="116" t="s">
        <v>1070</v>
      </c>
      <c r="F102" s="398" t="s">
        <v>1071</v>
      </c>
      <c r="G102" s="397">
        <v>3165073078</v>
      </c>
      <c r="H102" s="116"/>
      <c r="I102" s="116" t="s">
        <v>1072</v>
      </c>
      <c r="J102" s="240" t="s">
        <v>1073</v>
      </c>
      <c r="K102" s="256" t="s">
        <v>788</v>
      </c>
      <c r="L102" s="240" t="s">
        <v>789</v>
      </c>
      <c r="M102" s="262">
        <v>3212354912</v>
      </c>
    </row>
    <row r="103" spans="1:13">
      <c r="A103" s="246" t="s">
        <v>87</v>
      </c>
      <c r="B103" s="278" t="s">
        <v>1074</v>
      </c>
      <c r="C103" s="246" t="s">
        <v>60</v>
      </c>
      <c r="D103" s="246" t="s">
        <v>297</v>
      </c>
      <c r="E103" s="116" t="s">
        <v>1075</v>
      </c>
      <c r="F103" s="398" t="s">
        <v>1076</v>
      </c>
      <c r="G103" s="397">
        <v>3173315897</v>
      </c>
      <c r="H103" s="116"/>
      <c r="I103" s="116" t="s">
        <v>1077</v>
      </c>
      <c r="J103" s="240" t="s">
        <v>1078</v>
      </c>
      <c r="K103" s="256" t="s">
        <v>788</v>
      </c>
      <c r="L103" s="240" t="s">
        <v>789</v>
      </c>
      <c r="M103" s="262">
        <v>3212354912</v>
      </c>
    </row>
    <row r="104" spans="1:13">
      <c r="A104" s="246" t="s">
        <v>87</v>
      </c>
      <c r="B104" s="278" t="s">
        <v>1079</v>
      </c>
      <c r="C104" s="246" t="s">
        <v>137</v>
      </c>
      <c r="D104" s="246" t="s">
        <v>297</v>
      </c>
      <c r="E104" s="116" t="s">
        <v>1080</v>
      </c>
      <c r="F104" s="398" t="s">
        <v>1081</v>
      </c>
      <c r="G104" s="397">
        <v>3166037125</v>
      </c>
      <c r="H104" s="116"/>
      <c r="I104" s="116" t="s">
        <v>1082</v>
      </c>
      <c r="J104" s="240" t="s">
        <v>1083</v>
      </c>
      <c r="K104" s="256" t="s">
        <v>788</v>
      </c>
      <c r="L104" s="240" t="s">
        <v>789</v>
      </c>
      <c r="M104" s="262">
        <v>3212354912</v>
      </c>
    </row>
    <row r="105" spans="1:13">
      <c r="A105" s="246" t="s">
        <v>87</v>
      </c>
      <c r="B105" s="246" t="s">
        <v>352</v>
      </c>
      <c r="C105" s="246" t="s">
        <v>302</v>
      </c>
      <c r="D105" s="246" t="s">
        <v>297</v>
      </c>
      <c r="E105" s="116" t="s">
        <v>1084</v>
      </c>
      <c r="F105" s="398" t="s">
        <v>869</v>
      </c>
      <c r="G105" s="116">
        <v>3188473560</v>
      </c>
      <c r="H105" s="116"/>
      <c r="I105" s="116" t="s">
        <v>1085</v>
      </c>
      <c r="J105" s="240" t="s">
        <v>1086</v>
      </c>
      <c r="K105" s="256" t="s">
        <v>788</v>
      </c>
      <c r="L105" s="240" t="s">
        <v>789</v>
      </c>
      <c r="M105" s="246">
        <v>3168785276</v>
      </c>
    </row>
    <row r="106" spans="1:13">
      <c r="A106" s="246" t="s">
        <v>87</v>
      </c>
      <c r="B106" s="278" t="s">
        <v>1087</v>
      </c>
      <c r="C106" s="246" t="s">
        <v>1088</v>
      </c>
      <c r="D106" s="246" t="s">
        <v>297</v>
      </c>
      <c r="E106" s="116" t="s">
        <v>1089</v>
      </c>
      <c r="F106" s="116" t="s">
        <v>1090</v>
      </c>
      <c r="G106" s="116">
        <v>3182491863</v>
      </c>
      <c r="H106" s="116"/>
      <c r="I106" s="116" t="s">
        <v>1091</v>
      </c>
      <c r="J106" s="240" t="s">
        <v>1092</v>
      </c>
      <c r="K106" s="246" t="s">
        <v>796</v>
      </c>
      <c r="L106" s="246" t="s">
        <v>797</v>
      </c>
      <c r="M106" s="246">
        <v>3168785276</v>
      </c>
    </row>
    <row r="107" spans="1:13">
      <c r="A107" s="246" t="s">
        <v>87</v>
      </c>
      <c r="B107" s="278" t="s">
        <v>1093</v>
      </c>
      <c r="C107" s="246" t="s">
        <v>60</v>
      </c>
      <c r="D107" s="246" t="s">
        <v>297</v>
      </c>
      <c r="E107" s="116" t="s">
        <v>1094</v>
      </c>
      <c r="F107" s="116" t="s">
        <v>1095</v>
      </c>
      <c r="G107" s="116">
        <v>3157208533</v>
      </c>
      <c r="H107" s="116"/>
      <c r="I107" s="116" t="s">
        <v>1096</v>
      </c>
      <c r="J107" s="240" t="s">
        <v>1097</v>
      </c>
      <c r="K107" s="256" t="s">
        <v>788</v>
      </c>
      <c r="L107" s="240" t="s">
        <v>789</v>
      </c>
      <c r="M107" s="262">
        <v>3212354912</v>
      </c>
    </row>
    <row r="108" spans="1:13" ht="17.45">
      <c r="A108" s="246" t="s">
        <v>87</v>
      </c>
      <c r="B108" s="278" t="s">
        <v>1098</v>
      </c>
      <c r="C108" s="246" t="s">
        <v>60</v>
      </c>
      <c r="D108" s="246" t="s">
        <v>297</v>
      </c>
      <c r="E108" s="272" t="s">
        <v>1099</v>
      </c>
      <c r="F108" s="285" t="s">
        <v>1100</v>
      </c>
      <c r="G108" s="272"/>
      <c r="H108" s="272"/>
      <c r="I108" s="272" t="s">
        <v>1101</v>
      </c>
      <c r="J108" s="240" t="s">
        <v>1102</v>
      </c>
      <c r="K108" s="256" t="s">
        <v>788</v>
      </c>
      <c r="L108" s="240" t="s">
        <v>789</v>
      </c>
      <c r="M108" s="262">
        <v>3212354912</v>
      </c>
    </row>
    <row r="109" spans="1:13">
      <c r="A109" s="246" t="s">
        <v>87</v>
      </c>
      <c r="B109" s="246" t="s">
        <v>1103</v>
      </c>
      <c r="C109" s="246" t="s">
        <v>220</v>
      </c>
      <c r="D109" s="246" t="s">
        <v>62</v>
      </c>
      <c r="E109" s="112" t="s">
        <v>1104</v>
      </c>
      <c r="F109" s="247" t="s">
        <v>1105</v>
      </c>
      <c r="G109" s="247" t="s">
        <v>1106</v>
      </c>
      <c r="H109" s="248"/>
      <c r="I109" s="115" t="s">
        <v>1107</v>
      </c>
      <c r="J109" s="240" t="s">
        <v>1108</v>
      </c>
      <c r="K109" s="246" t="s">
        <v>570</v>
      </c>
      <c r="L109" s="246" t="s">
        <v>601</v>
      </c>
      <c r="M109" s="246">
        <v>3183355665</v>
      </c>
    </row>
    <row r="110" spans="1:13">
      <c r="A110" s="246" t="s">
        <v>87</v>
      </c>
      <c r="B110" s="246" t="s">
        <v>1109</v>
      </c>
      <c r="C110" s="246" t="s">
        <v>220</v>
      </c>
      <c r="D110" s="246" t="s">
        <v>297</v>
      </c>
      <c r="E110" s="116" t="s">
        <v>1110</v>
      </c>
      <c r="F110" s="116" t="s">
        <v>1111</v>
      </c>
      <c r="G110" s="116"/>
      <c r="H110" s="116"/>
      <c r="I110" s="116" t="s">
        <v>1112</v>
      </c>
      <c r="J110" s="240" t="s">
        <v>1113</v>
      </c>
      <c r="K110" s="246" t="s">
        <v>570</v>
      </c>
      <c r="L110" s="246" t="s">
        <v>601</v>
      </c>
      <c r="M110" s="246">
        <v>3183355665</v>
      </c>
    </row>
    <row r="111" spans="1:13">
      <c r="A111" s="246" t="s">
        <v>87</v>
      </c>
      <c r="B111" s="246" t="s">
        <v>364</v>
      </c>
      <c r="C111" s="246" t="s">
        <v>220</v>
      </c>
      <c r="D111" s="246" t="s">
        <v>297</v>
      </c>
      <c r="E111" s="116" t="s">
        <v>1114</v>
      </c>
      <c r="F111" s="398" t="s">
        <v>1115</v>
      </c>
      <c r="G111" s="397">
        <v>3184249311</v>
      </c>
      <c r="H111" s="116"/>
      <c r="I111" s="116">
        <v>2829960</v>
      </c>
      <c r="J111" s="403" t="s">
        <v>1116</v>
      </c>
      <c r="K111" s="246" t="s">
        <v>570</v>
      </c>
      <c r="L111" s="246" t="s">
        <v>601</v>
      </c>
      <c r="M111" s="246">
        <v>3183355665</v>
      </c>
    </row>
    <row r="112" spans="1:13">
      <c r="A112" s="246" t="s">
        <v>87</v>
      </c>
      <c r="B112" s="246" t="s">
        <v>1117</v>
      </c>
      <c r="C112" s="246" t="s">
        <v>1118</v>
      </c>
      <c r="D112" s="246" t="s">
        <v>297</v>
      </c>
      <c r="E112" s="112" t="s">
        <v>1119</v>
      </c>
      <c r="F112" s="247" t="s">
        <v>1120</v>
      </c>
      <c r="G112" s="247" t="s">
        <v>1121</v>
      </c>
      <c r="H112" s="248"/>
      <c r="I112" s="112">
        <v>2561695</v>
      </c>
      <c r="J112" s="240" t="s">
        <v>1122</v>
      </c>
      <c r="K112" s="246" t="s">
        <v>570</v>
      </c>
      <c r="L112" s="246" t="s">
        <v>601</v>
      </c>
      <c r="M112" s="246">
        <v>3183355665</v>
      </c>
    </row>
    <row r="113" spans="1:13">
      <c r="A113" s="246" t="s">
        <v>87</v>
      </c>
      <c r="B113" s="278" t="s">
        <v>1123</v>
      </c>
      <c r="C113" s="246" t="s">
        <v>1124</v>
      </c>
      <c r="D113" s="246" t="s">
        <v>297</v>
      </c>
      <c r="E113" s="116" t="s">
        <v>1125</v>
      </c>
      <c r="F113" s="117" t="s">
        <v>1126</v>
      </c>
      <c r="G113" s="116"/>
      <c r="H113" s="116"/>
      <c r="I113" s="116" t="s">
        <v>1127</v>
      </c>
      <c r="J113" s="240" t="s">
        <v>1128</v>
      </c>
      <c r="K113" s="246" t="s">
        <v>570</v>
      </c>
      <c r="L113" s="246" t="s">
        <v>601</v>
      </c>
      <c r="M113" s="246">
        <v>3183355665</v>
      </c>
    </row>
    <row r="114" spans="1:13">
      <c r="A114" s="246" t="s">
        <v>87</v>
      </c>
      <c r="B114" s="246" t="s">
        <v>354</v>
      </c>
      <c r="C114" s="246" t="s">
        <v>220</v>
      </c>
      <c r="D114" s="246" t="s">
        <v>297</v>
      </c>
      <c r="E114" s="116" t="s">
        <v>1129</v>
      </c>
      <c r="F114" s="398" t="s">
        <v>1130</v>
      </c>
      <c r="G114" s="397">
        <v>3176572702</v>
      </c>
      <c r="H114" s="116"/>
      <c r="I114" s="116" t="s">
        <v>1131</v>
      </c>
      <c r="J114" s="240" t="s">
        <v>1132</v>
      </c>
      <c r="K114" s="246" t="s">
        <v>570</v>
      </c>
      <c r="L114" s="246" t="s">
        <v>601</v>
      </c>
      <c r="M114" s="246">
        <v>3183355665</v>
      </c>
    </row>
    <row r="115" spans="1:13">
      <c r="A115" s="246" t="s">
        <v>87</v>
      </c>
      <c r="B115" s="246" t="s">
        <v>1133</v>
      </c>
      <c r="C115" s="246" t="s">
        <v>220</v>
      </c>
      <c r="D115" s="246" t="s">
        <v>297</v>
      </c>
      <c r="E115" s="116" t="s">
        <v>1134</v>
      </c>
      <c r="F115" s="117" t="s">
        <v>1135</v>
      </c>
      <c r="G115" s="116"/>
      <c r="H115" s="116"/>
      <c r="I115" s="116" t="s">
        <v>1136</v>
      </c>
      <c r="J115" s="240" t="s">
        <v>1137</v>
      </c>
      <c r="K115" s="246" t="s">
        <v>570</v>
      </c>
      <c r="L115" s="246" t="s">
        <v>601</v>
      </c>
      <c r="M115" s="246">
        <v>3183355665</v>
      </c>
    </row>
    <row r="116" spans="1:13">
      <c r="A116" s="246" t="s">
        <v>87</v>
      </c>
      <c r="B116" s="278" t="s">
        <v>1138</v>
      </c>
      <c r="C116" s="246" t="s">
        <v>1139</v>
      </c>
      <c r="D116" s="246" t="s">
        <v>297</v>
      </c>
      <c r="E116" s="113" t="s">
        <v>1140</v>
      </c>
      <c r="F116" s="113" t="s">
        <v>1141</v>
      </c>
      <c r="G116" s="113">
        <v>3216290697</v>
      </c>
      <c r="H116" s="116"/>
      <c r="I116" s="113" t="s">
        <v>1142</v>
      </c>
      <c r="J116" s="240" t="s">
        <v>1143</v>
      </c>
      <c r="K116" s="246" t="s">
        <v>570</v>
      </c>
      <c r="L116" s="246" t="s">
        <v>601</v>
      </c>
      <c r="M116" s="246">
        <v>3183355665</v>
      </c>
    </row>
    <row r="117" spans="1:13">
      <c r="A117" s="246" t="s">
        <v>87</v>
      </c>
      <c r="B117" s="246" t="s">
        <v>1144</v>
      </c>
      <c r="C117" s="246" t="s">
        <v>1145</v>
      </c>
      <c r="D117" s="246" t="s">
        <v>297</v>
      </c>
      <c r="E117" s="112" t="s">
        <v>1146</v>
      </c>
      <c r="F117" s="249" t="s">
        <v>1147</v>
      </c>
      <c r="G117" s="247" t="s">
        <v>1148</v>
      </c>
      <c r="H117" s="248"/>
      <c r="I117" s="112" t="s">
        <v>1149</v>
      </c>
      <c r="J117" s="240" t="s">
        <v>1150</v>
      </c>
      <c r="K117" s="246" t="s">
        <v>570</v>
      </c>
      <c r="L117" s="246" t="s">
        <v>601</v>
      </c>
      <c r="M117" s="246">
        <v>3183355665</v>
      </c>
    </row>
    <row r="118" spans="1:13">
      <c r="A118" s="246" t="s">
        <v>87</v>
      </c>
      <c r="B118" s="278" t="s">
        <v>348</v>
      </c>
      <c r="C118" s="246" t="s">
        <v>220</v>
      </c>
      <c r="D118" s="246" t="s">
        <v>297</v>
      </c>
      <c r="E118" s="116" t="s">
        <v>1151</v>
      </c>
      <c r="F118" s="398" t="s">
        <v>1130</v>
      </c>
      <c r="G118" s="397">
        <v>3173676549</v>
      </c>
      <c r="H118" s="116"/>
      <c r="I118" s="116" t="s">
        <v>1152</v>
      </c>
      <c r="J118" s="240" t="s">
        <v>1153</v>
      </c>
      <c r="K118" s="246" t="s">
        <v>570</v>
      </c>
      <c r="L118" s="246" t="s">
        <v>601</v>
      </c>
      <c r="M118" s="246">
        <v>3183355665</v>
      </c>
    </row>
    <row r="119" spans="1:13" ht="15">
      <c r="A119" s="246" t="s">
        <v>87</v>
      </c>
      <c r="B119" s="246" t="s">
        <v>1154</v>
      </c>
      <c r="C119" s="246" t="s">
        <v>188</v>
      </c>
      <c r="D119" s="246" t="s">
        <v>62</v>
      </c>
      <c r="E119" s="112" t="s">
        <v>1155</v>
      </c>
      <c r="F119" s="247" t="s">
        <v>1156</v>
      </c>
      <c r="G119" s="247" t="s">
        <v>1157</v>
      </c>
      <c r="H119" s="248"/>
      <c r="I119" s="112" t="s">
        <v>1158</v>
      </c>
      <c r="J119" s="240" t="s">
        <v>1159</v>
      </c>
      <c r="K119" s="246" t="s">
        <v>606</v>
      </c>
      <c r="L119" s="240" t="s">
        <v>607</v>
      </c>
      <c r="M119" s="239">
        <v>3184093825</v>
      </c>
    </row>
    <row r="120" spans="1:13" ht="15">
      <c r="A120" s="246" t="s">
        <v>87</v>
      </c>
      <c r="B120" s="246" t="s">
        <v>223</v>
      </c>
      <c r="C120" s="246" t="s">
        <v>192</v>
      </c>
      <c r="D120" s="246" t="s">
        <v>62</v>
      </c>
      <c r="E120" s="116" t="s">
        <v>1160</v>
      </c>
      <c r="F120" s="116" t="s">
        <v>1161</v>
      </c>
      <c r="G120" s="397">
        <v>3163955769</v>
      </c>
      <c r="H120" s="116"/>
      <c r="I120" s="116" t="s">
        <v>1162</v>
      </c>
      <c r="J120" s="240" t="s">
        <v>1163</v>
      </c>
      <c r="K120" s="246" t="s">
        <v>606</v>
      </c>
      <c r="L120" s="240" t="s">
        <v>607</v>
      </c>
      <c r="M120" s="239">
        <v>3184093825</v>
      </c>
    </row>
    <row r="121" spans="1:13" ht="15">
      <c r="A121" s="246" t="s">
        <v>87</v>
      </c>
      <c r="B121" s="246" t="s">
        <v>1164</v>
      </c>
      <c r="C121" s="246" t="s">
        <v>188</v>
      </c>
      <c r="D121" s="246" t="s">
        <v>297</v>
      </c>
      <c r="E121" s="116" t="s">
        <v>1165</v>
      </c>
      <c r="F121" s="116"/>
      <c r="G121" s="116">
        <v>3128143366</v>
      </c>
      <c r="H121" s="116"/>
      <c r="I121" s="116" t="s">
        <v>1166</v>
      </c>
      <c r="J121" s="240" t="s">
        <v>1167</v>
      </c>
      <c r="K121" s="246" t="s">
        <v>606</v>
      </c>
      <c r="L121" s="240" t="s">
        <v>607</v>
      </c>
      <c r="M121" s="239">
        <v>3184093825</v>
      </c>
    </row>
    <row r="122" spans="1:13" ht="15">
      <c r="A122" s="246" t="s">
        <v>87</v>
      </c>
      <c r="B122" s="246" t="s">
        <v>316</v>
      </c>
      <c r="C122" s="246" t="s">
        <v>188</v>
      </c>
      <c r="D122" s="246" t="s">
        <v>297</v>
      </c>
      <c r="E122" s="116" t="s">
        <v>1168</v>
      </c>
      <c r="F122" s="116" t="s">
        <v>1169</v>
      </c>
      <c r="G122" s="397">
        <v>3184249311</v>
      </c>
      <c r="H122" s="116"/>
      <c r="I122" s="116" t="s">
        <v>1170</v>
      </c>
      <c r="J122" s="240" t="s">
        <v>1171</v>
      </c>
      <c r="K122" s="246" t="s">
        <v>606</v>
      </c>
      <c r="L122" s="240" t="s">
        <v>607</v>
      </c>
      <c r="M122" s="239">
        <v>3184093825</v>
      </c>
    </row>
    <row r="123" spans="1:13" ht="15">
      <c r="A123" s="246" t="s">
        <v>87</v>
      </c>
      <c r="B123" s="246" t="s">
        <v>314</v>
      </c>
      <c r="C123" s="246" t="s">
        <v>188</v>
      </c>
      <c r="D123" s="246" t="s">
        <v>297</v>
      </c>
      <c r="E123" s="116" t="s">
        <v>1172</v>
      </c>
      <c r="F123" s="398" t="s">
        <v>1126</v>
      </c>
      <c r="G123" s="397">
        <v>3128151102</v>
      </c>
      <c r="H123" s="116"/>
      <c r="I123" s="116" t="s">
        <v>1173</v>
      </c>
      <c r="J123" s="240" t="s">
        <v>1174</v>
      </c>
      <c r="K123" s="246" t="s">
        <v>606</v>
      </c>
      <c r="L123" s="240" t="s">
        <v>607</v>
      </c>
      <c r="M123" s="239">
        <v>3184093825</v>
      </c>
    </row>
    <row r="124" spans="1:13" ht="24">
      <c r="A124" s="246" t="s">
        <v>87</v>
      </c>
      <c r="B124" s="246" t="s">
        <v>1175</v>
      </c>
      <c r="C124" s="246" t="s">
        <v>282</v>
      </c>
      <c r="D124" s="246" t="s">
        <v>297</v>
      </c>
      <c r="E124" s="115" t="s">
        <v>1176</v>
      </c>
      <c r="F124" s="247" t="s">
        <v>1177</v>
      </c>
      <c r="G124" s="247" t="s">
        <v>1178</v>
      </c>
      <c r="H124" s="248"/>
      <c r="I124" s="112" t="s">
        <v>1179</v>
      </c>
      <c r="J124" s="240" t="s">
        <v>1180</v>
      </c>
      <c r="K124" s="256" t="s">
        <v>823</v>
      </c>
      <c r="L124" s="240" t="s">
        <v>824</v>
      </c>
      <c r="M124" s="262" t="s">
        <v>825</v>
      </c>
    </row>
    <row r="125" spans="1:13" ht="15">
      <c r="A125" s="246" t="s">
        <v>87</v>
      </c>
      <c r="B125" s="246" t="s">
        <v>318</v>
      </c>
      <c r="C125" s="246" t="s">
        <v>188</v>
      </c>
      <c r="D125" s="246" t="s">
        <v>297</v>
      </c>
      <c r="E125" s="116" t="s">
        <v>1181</v>
      </c>
      <c r="F125" s="398" t="s">
        <v>1182</v>
      </c>
      <c r="G125" s="397">
        <v>3173676541</v>
      </c>
      <c r="H125" s="116"/>
      <c r="I125" s="116" t="s">
        <v>1183</v>
      </c>
      <c r="J125" s="240" t="s">
        <v>1184</v>
      </c>
      <c r="K125" s="246" t="s">
        <v>606</v>
      </c>
      <c r="L125" s="240" t="s">
        <v>607</v>
      </c>
      <c r="M125" s="239">
        <v>3184093825</v>
      </c>
    </row>
    <row r="126" spans="1:13">
      <c r="A126" s="246" t="s">
        <v>87</v>
      </c>
      <c r="B126" s="246" t="s">
        <v>1185</v>
      </c>
      <c r="C126" s="246" t="s">
        <v>299</v>
      </c>
      <c r="D126" s="246" t="s">
        <v>297</v>
      </c>
      <c r="E126" s="112" t="s">
        <v>1186</v>
      </c>
      <c r="F126" s="247" t="s">
        <v>1187</v>
      </c>
      <c r="G126" s="247" t="s">
        <v>1188</v>
      </c>
      <c r="H126" s="248"/>
      <c r="I126" s="115" t="s">
        <v>1189</v>
      </c>
      <c r="J126" s="240" t="s">
        <v>1190</v>
      </c>
      <c r="K126" s="246" t="s">
        <v>613</v>
      </c>
      <c r="L126" s="246" t="s">
        <v>614</v>
      </c>
      <c r="M126" s="246">
        <v>3178929192</v>
      </c>
    </row>
    <row r="127" spans="1:13">
      <c r="A127" s="246" t="s">
        <v>87</v>
      </c>
      <c r="B127" s="278" t="s">
        <v>1191</v>
      </c>
      <c r="C127" s="246" t="s">
        <v>299</v>
      </c>
      <c r="D127" s="246" t="s">
        <v>297</v>
      </c>
      <c r="E127" s="116" t="s">
        <v>1192</v>
      </c>
      <c r="F127" s="404" t="s">
        <v>1193</v>
      </c>
      <c r="G127" s="397">
        <v>3182961534</v>
      </c>
      <c r="H127" s="116"/>
      <c r="I127" s="116" t="s">
        <v>1194</v>
      </c>
      <c r="J127" s="240" t="s">
        <v>1195</v>
      </c>
      <c r="K127" s="246" t="s">
        <v>613</v>
      </c>
      <c r="L127" s="246" t="s">
        <v>614</v>
      </c>
      <c r="M127" s="246">
        <v>3178929192</v>
      </c>
    </row>
    <row r="128" spans="1:13">
      <c r="A128" s="246" t="s">
        <v>87</v>
      </c>
      <c r="B128" s="246" t="s">
        <v>1196</v>
      </c>
      <c r="C128" s="246" t="s">
        <v>299</v>
      </c>
      <c r="D128" s="246" t="s">
        <v>297</v>
      </c>
      <c r="E128" s="272" t="s">
        <v>1197</v>
      </c>
      <c r="F128" s="116" t="s">
        <v>1198</v>
      </c>
      <c r="G128" s="116"/>
      <c r="H128" s="116" t="s">
        <v>1199</v>
      </c>
      <c r="I128" s="116" t="s">
        <v>1200</v>
      </c>
      <c r="J128" s="240" t="s">
        <v>1201</v>
      </c>
      <c r="K128" s="246" t="s">
        <v>613</v>
      </c>
      <c r="L128" s="246" t="s">
        <v>614</v>
      </c>
      <c r="M128" s="246">
        <v>3178929192</v>
      </c>
    </row>
    <row r="129" spans="1:13">
      <c r="A129" s="246" t="s">
        <v>87</v>
      </c>
      <c r="B129" s="246" t="s">
        <v>227</v>
      </c>
      <c r="C129" s="246" t="s">
        <v>299</v>
      </c>
      <c r="D129" s="246" t="s">
        <v>297</v>
      </c>
      <c r="E129" s="116" t="s">
        <v>1202</v>
      </c>
      <c r="F129" s="398" t="s">
        <v>1203</v>
      </c>
      <c r="G129" s="116">
        <v>3168305528</v>
      </c>
      <c r="H129" s="116"/>
      <c r="I129" s="116" t="s">
        <v>1204</v>
      </c>
      <c r="J129" s="240" t="s">
        <v>1205</v>
      </c>
      <c r="K129" s="246" t="s">
        <v>613</v>
      </c>
      <c r="L129" s="246" t="s">
        <v>614</v>
      </c>
      <c r="M129" s="246">
        <v>3178929192</v>
      </c>
    </row>
    <row r="130" spans="1:13">
      <c r="A130" s="246" t="s">
        <v>87</v>
      </c>
      <c r="B130" s="246" t="s">
        <v>303</v>
      </c>
      <c r="C130" s="246" t="s">
        <v>299</v>
      </c>
      <c r="D130" s="246" t="s">
        <v>297</v>
      </c>
      <c r="E130" s="116" t="s">
        <v>1206</v>
      </c>
      <c r="F130" s="286" t="s">
        <v>1207</v>
      </c>
      <c r="G130" s="116"/>
      <c r="H130" s="116"/>
      <c r="I130" s="116" t="s">
        <v>1208</v>
      </c>
      <c r="J130" s="240" t="s">
        <v>1209</v>
      </c>
      <c r="K130" s="246" t="s">
        <v>613</v>
      </c>
      <c r="L130" s="246" t="s">
        <v>614</v>
      </c>
      <c r="M130" s="246">
        <v>3178929192</v>
      </c>
    </row>
    <row r="131" spans="1:13">
      <c r="A131" s="246" t="s">
        <v>87</v>
      </c>
      <c r="B131" s="246" t="s">
        <v>1210</v>
      </c>
      <c r="C131" s="246" t="s">
        <v>320</v>
      </c>
      <c r="D131" s="246" t="s">
        <v>297</v>
      </c>
      <c r="E131" s="115" t="s">
        <v>1211</v>
      </c>
      <c r="F131" s="247" t="s">
        <v>1212</v>
      </c>
      <c r="G131" s="247" t="s">
        <v>1213</v>
      </c>
      <c r="H131" s="248"/>
      <c r="I131" s="112" t="s">
        <v>1214</v>
      </c>
      <c r="J131" s="240" t="s">
        <v>1215</v>
      </c>
      <c r="K131" s="246" t="s">
        <v>613</v>
      </c>
      <c r="L131" s="246" t="s">
        <v>614</v>
      </c>
      <c r="M131" s="246">
        <v>3178929192</v>
      </c>
    </row>
    <row r="132" spans="1:13">
      <c r="A132" s="246" t="s">
        <v>87</v>
      </c>
      <c r="B132" s="278" t="s">
        <v>225</v>
      </c>
      <c r="C132" s="246" t="s">
        <v>320</v>
      </c>
      <c r="D132" s="246" t="s">
        <v>297</v>
      </c>
      <c r="E132" s="116" t="s">
        <v>1216</v>
      </c>
      <c r="F132" s="398" t="s">
        <v>1203</v>
      </c>
      <c r="G132" s="397">
        <v>3168305528</v>
      </c>
      <c r="H132" s="116"/>
      <c r="I132" s="116" t="s">
        <v>1217</v>
      </c>
      <c r="J132" s="240" t="s">
        <v>1218</v>
      </c>
      <c r="K132" s="246" t="s">
        <v>613</v>
      </c>
      <c r="L132" s="246" t="s">
        <v>614</v>
      </c>
      <c r="M132" s="246">
        <v>3178929192</v>
      </c>
    </row>
    <row r="133" spans="1:13">
      <c r="A133" s="246" t="s">
        <v>87</v>
      </c>
      <c r="B133" s="246" t="s">
        <v>1219</v>
      </c>
      <c r="C133" s="246" t="s">
        <v>199</v>
      </c>
      <c r="D133" s="265" t="s">
        <v>62</v>
      </c>
      <c r="E133" s="116" t="s">
        <v>1220</v>
      </c>
      <c r="F133" s="116" t="s">
        <v>1221</v>
      </c>
      <c r="G133" s="116"/>
      <c r="H133" s="116"/>
      <c r="I133" s="116" t="s">
        <v>1222</v>
      </c>
      <c r="J133" s="240" t="s">
        <v>1223</v>
      </c>
      <c r="K133" s="256" t="s">
        <v>627</v>
      </c>
      <c r="L133" s="240" t="s">
        <v>628</v>
      </c>
      <c r="M133" s="262">
        <v>3212354912</v>
      </c>
    </row>
    <row r="134" spans="1:13">
      <c r="A134" s="246" t="s">
        <v>87</v>
      </c>
      <c r="B134" s="246" t="s">
        <v>229</v>
      </c>
      <c r="C134" s="246" t="s">
        <v>216</v>
      </c>
      <c r="D134" s="246" t="s">
        <v>297</v>
      </c>
      <c r="E134" s="116" t="s">
        <v>1224</v>
      </c>
      <c r="F134" s="398" t="s">
        <v>1225</v>
      </c>
      <c r="G134" s="397">
        <v>3152953743</v>
      </c>
      <c r="H134" s="116"/>
      <c r="I134" s="116" t="s">
        <v>1226</v>
      </c>
      <c r="J134" s="240" t="s">
        <v>1227</v>
      </c>
      <c r="K134" s="246" t="s">
        <v>620</v>
      </c>
      <c r="L134" s="246" t="s">
        <v>621</v>
      </c>
      <c r="M134" s="246">
        <v>3183355485</v>
      </c>
    </row>
    <row r="135" spans="1:13">
      <c r="A135" s="246" t="s">
        <v>87</v>
      </c>
      <c r="B135" s="246" t="s">
        <v>1228</v>
      </c>
      <c r="C135" s="246" t="s">
        <v>216</v>
      </c>
      <c r="D135" s="246" t="s">
        <v>297</v>
      </c>
      <c r="E135" s="116" t="s">
        <v>1229</v>
      </c>
      <c r="F135" s="116" t="s">
        <v>1230</v>
      </c>
      <c r="G135" s="116"/>
      <c r="H135" s="116"/>
      <c r="I135" s="116" t="s">
        <v>1231</v>
      </c>
      <c r="J135" s="240" t="s">
        <v>1232</v>
      </c>
      <c r="K135" s="246" t="s">
        <v>620</v>
      </c>
      <c r="L135" s="246" t="s">
        <v>621</v>
      </c>
      <c r="M135" s="246">
        <v>3183355485</v>
      </c>
    </row>
    <row r="136" spans="1:13">
      <c r="A136" s="246" t="s">
        <v>87</v>
      </c>
      <c r="B136" s="246" t="s">
        <v>1233</v>
      </c>
      <c r="C136" s="246" t="s">
        <v>216</v>
      </c>
      <c r="D136" s="246" t="s">
        <v>297</v>
      </c>
      <c r="E136" s="118" t="s">
        <v>1234</v>
      </c>
      <c r="F136" s="252" t="s">
        <v>1235</v>
      </c>
      <c r="G136" s="252">
        <v>3182679606</v>
      </c>
      <c r="H136" s="253"/>
      <c r="I136" s="118" t="s">
        <v>1236</v>
      </c>
      <c r="J136" s="240" t="s">
        <v>1237</v>
      </c>
      <c r="K136" s="246" t="s">
        <v>620</v>
      </c>
      <c r="L136" s="246" t="s">
        <v>621</v>
      </c>
      <c r="M136" s="246">
        <v>3183355485</v>
      </c>
    </row>
    <row r="137" spans="1:13">
      <c r="A137" s="246" t="s">
        <v>87</v>
      </c>
      <c r="B137" s="246" t="s">
        <v>1238</v>
      </c>
      <c r="C137" s="246" t="s">
        <v>1239</v>
      </c>
      <c r="D137" s="246" t="s">
        <v>297</v>
      </c>
      <c r="E137" s="112" t="s">
        <v>1240</v>
      </c>
      <c r="F137" s="247" t="s">
        <v>1241</v>
      </c>
      <c r="G137" s="247" t="s">
        <v>1157</v>
      </c>
      <c r="H137" s="248"/>
      <c r="I137" s="112"/>
      <c r="J137" s="240" t="s">
        <v>1242</v>
      </c>
      <c r="K137" s="246" t="s">
        <v>620</v>
      </c>
      <c r="L137" s="246" t="s">
        <v>621</v>
      </c>
      <c r="M137" s="246">
        <v>3183355485</v>
      </c>
    </row>
    <row r="138" spans="1:13">
      <c r="A138" s="279" t="s">
        <v>283</v>
      </c>
      <c r="B138" s="246" t="s">
        <v>75</v>
      </c>
      <c r="C138" s="279" t="s">
        <v>78</v>
      </c>
      <c r="D138" s="246" t="s">
        <v>62</v>
      </c>
      <c r="E138" s="272" t="s">
        <v>1243</v>
      </c>
      <c r="F138" s="117" t="s">
        <v>1244</v>
      </c>
      <c r="G138" s="116" t="s">
        <v>1245</v>
      </c>
      <c r="H138" s="272" t="s">
        <v>1246</v>
      </c>
      <c r="I138" s="272"/>
      <c r="J138" s="240" t="s">
        <v>1247</v>
      </c>
      <c r="K138" s="246" t="s">
        <v>796</v>
      </c>
      <c r="L138" s="246" t="s">
        <v>797</v>
      </c>
      <c r="M138" s="246">
        <v>3168785276</v>
      </c>
    </row>
    <row r="139" spans="1:13">
      <c r="A139" s="279" t="s">
        <v>283</v>
      </c>
      <c r="B139" s="246" t="s">
        <v>1248</v>
      </c>
      <c r="C139" s="279" t="s">
        <v>1249</v>
      </c>
      <c r="D139" s="279" t="s">
        <v>62</v>
      </c>
      <c r="E139" s="272" t="s">
        <v>1250</v>
      </c>
      <c r="F139" s="117"/>
      <c r="G139" s="272"/>
      <c r="H139" s="272"/>
      <c r="I139" s="272"/>
      <c r="J139" s="240"/>
      <c r="K139" s="246" t="s">
        <v>796</v>
      </c>
      <c r="L139" s="246" t="s">
        <v>797</v>
      </c>
      <c r="M139" s="246">
        <v>3168785276</v>
      </c>
    </row>
    <row r="140" spans="1:13">
      <c r="A140" s="279" t="s">
        <v>283</v>
      </c>
      <c r="B140" s="246" t="s">
        <v>284</v>
      </c>
      <c r="C140" s="279" t="s">
        <v>282</v>
      </c>
      <c r="D140" s="279" t="s">
        <v>62</v>
      </c>
      <c r="E140" s="272" t="s">
        <v>1251</v>
      </c>
      <c r="F140" s="117" t="s">
        <v>1252</v>
      </c>
      <c r="G140" s="287" t="s">
        <v>1253</v>
      </c>
      <c r="H140" s="272" t="s">
        <v>1254</v>
      </c>
      <c r="I140" s="272"/>
      <c r="J140" s="240" t="s">
        <v>1255</v>
      </c>
      <c r="K140" s="246" t="s">
        <v>796</v>
      </c>
      <c r="L140" s="246" t="s">
        <v>797</v>
      </c>
      <c r="M140" s="246">
        <v>3168785276</v>
      </c>
    </row>
    <row r="141" spans="1:13" ht="15">
      <c r="A141" s="279" t="s">
        <v>283</v>
      </c>
      <c r="B141" s="246" t="s">
        <v>134</v>
      </c>
      <c r="C141" s="279" t="s">
        <v>137</v>
      </c>
      <c r="D141" s="279" t="s">
        <v>62</v>
      </c>
      <c r="E141" s="272" t="s">
        <v>1256</v>
      </c>
      <c r="F141" s="117" t="s">
        <v>1257</v>
      </c>
      <c r="G141" s="116" t="s">
        <v>1258</v>
      </c>
      <c r="H141" s="272" t="s">
        <v>1259</v>
      </c>
      <c r="I141" s="272">
        <v>3107599789</v>
      </c>
      <c r="J141" s="240" t="s">
        <v>1260</v>
      </c>
      <c r="K141" s="246" t="s">
        <v>796</v>
      </c>
      <c r="L141" s="246" t="s">
        <v>797</v>
      </c>
      <c r="M141" s="246">
        <v>3168785276</v>
      </c>
    </row>
    <row r="142" spans="1:13">
      <c r="A142" s="279" t="s">
        <v>283</v>
      </c>
      <c r="B142" s="246" t="s">
        <v>286</v>
      </c>
      <c r="C142" s="279" t="s">
        <v>282</v>
      </c>
      <c r="D142" s="279" t="s">
        <v>62</v>
      </c>
      <c r="E142" s="272" t="s">
        <v>1251</v>
      </c>
      <c r="F142" s="272" t="s">
        <v>1254</v>
      </c>
      <c r="G142" s="287" t="s">
        <v>1253</v>
      </c>
      <c r="H142" s="274"/>
      <c r="I142" s="272"/>
      <c r="J142" s="240" t="s">
        <v>1261</v>
      </c>
      <c r="K142" s="246" t="s">
        <v>796</v>
      </c>
      <c r="L142" s="246" t="s">
        <v>797</v>
      </c>
      <c r="M142" s="246">
        <v>3168785276</v>
      </c>
    </row>
    <row r="143" spans="1:13">
      <c r="A143" s="279" t="s">
        <v>283</v>
      </c>
      <c r="B143" s="246" t="s">
        <v>280</v>
      </c>
      <c r="C143" s="279" t="s">
        <v>282</v>
      </c>
      <c r="D143" s="279" t="s">
        <v>62</v>
      </c>
      <c r="E143" s="272" t="s">
        <v>1251</v>
      </c>
      <c r="F143" s="272" t="s">
        <v>1254</v>
      </c>
      <c r="G143" s="287" t="s">
        <v>1253</v>
      </c>
      <c r="H143" s="272" t="s">
        <v>1254</v>
      </c>
      <c r="I143" s="272"/>
      <c r="J143" s="240" t="s">
        <v>1261</v>
      </c>
      <c r="K143" s="246" t="s">
        <v>796</v>
      </c>
      <c r="L143" s="246" t="s">
        <v>797</v>
      </c>
      <c r="M143" s="246">
        <v>3168785276</v>
      </c>
    </row>
    <row r="144" spans="1:13">
      <c r="A144" s="288" t="s">
        <v>283</v>
      </c>
      <c r="B144" s="119" t="s">
        <v>1262</v>
      </c>
      <c r="C144" s="288" t="s">
        <v>220</v>
      </c>
      <c r="D144" s="119" t="s">
        <v>297</v>
      </c>
      <c r="E144" s="289" t="s">
        <v>1263</v>
      </c>
      <c r="F144" s="119" t="s">
        <v>1264</v>
      </c>
      <c r="G144" s="260" t="s">
        <v>1265</v>
      </c>
      <c r="H144" s="289" t="s">
        <v>1266</v>
      </c>
      <c r="I144" s="289"/>
      <c r="J144" s="240" t="s">
        <v>1267</v>
      </c>
      <c r="K144" s="246" t="s">
        <v>796</v>
      </c>
      <c r="L144" s="246" t="s">
        <v>797</v>
      </c>
      <c r="M144" s="246">
        <v>3168785276</v>
      </c>
    </row>
    <row r="145" spans="1:13">
      <c r="A145" s="279" t="s">
        <v>283</v>
      </c>
      <c r="B145" s="246" t="s">
        <v>231</v>
      </c>
      <c r="C145" s="279" t="s">
        <v>188</v>
      </c>
      <c r="D145" s="246" t="s">
        <v>297</v>
      </c>
      <c r="E145" s="272" t="s">
        <v>1268</v>
      </c>
      <c r="F145" s="116"/>
      <c r="G145" s="116">
        <v>3136263878</v>
      </c>
      <c r="H145" s="116" t="s">
        <v>1269</v>
      </c>
      <c r="I145" s="116">
        <v>3183536709</v>
      </c>
      <c r="J145" s="240" t="s">
        <v>1270</v>
      </c>
      <c r="K145" s="246" t="s">
        <v>796</v>
      </c>
      <c r="L145" s="246" t="s">
        <v>797</v>
      </c>
      <c r="M145" s="246">
        <v>3168785276</v>
      </c>
    </row>
    <row r="146" spans="1:13" ht="19.149999999999999">
      <c r="A146" s="254" t="s">
        <v>283</v>
      </c>
      <c r="B146" s="290" t="s">
        <v>243</v>
      </c>
      <c r="C146" s="254" t="s">
        <v>299</v>
      </c>
      <c r="D146" s="246" t="s">
        <v>297</v>
      </c>
      <c r="E146" s="272" t="s">
        <v>1271</v>
      </c>
      <c r="F146" s="323" t="s">
        <v>1272</v>
      </c>
      <c r="G146" s="116" t="s">
        <v>1273</v>
      </c>
      <c r="H146" s="116" t="s">
        <v>1274</v>
      </c>
      <c r="I146" s="116" t="s">
        <v>1275</v>
      </c>
      <c r="J146" s="240" t="s">
        <v>1276</v>
      </c>
      <c r="K146" s="246" t="s">
        <v>796</v>
      </c>
      <c r="L146" s="246" t="s">
        <v>797</v>
      </c>
      <c r="M146" s="246">
        <v>3168785276</v>
      </c>
    </row>
    <row r="147" spans="1:13">
      <c r="A147" s="288" t="s">
        <v>283</v>
      </c>
      <c r="B147" s="119" t="s">
        <v>1277</v>
      </c>
      <c r="C147" s="288" t="s">
        <v>216</v>
      </c>
      <c r="D147" s="119" t="s">
        <v>297</v>
      </c>
      <c r="E147" s="289" t="s">
        <v>1278</v>
      </c>
      <c r="F147" s="260" t="s">
        <v>1279</v>
      </c>
      <c r="G147" s="289">
        <v>3116356234</v>
      </c>
      <c r="H147" s="260" t="s">
        <v>1280</v>
      </c>
      <c r="I147" s="260" t="s">
        <v>1281</v>
      </c>
      <c r="J147" s="240" t="s">
        <v>1282</v>
      </c>
      <c r="K147" s="246" t="s">
        <v>796</v>
      </c>
      <c r="L147" s="246" t="s">
        <v>797</v>
      </c>
      <c r="M147" s="246">
        <v>3168785276</v>
      </c>
    </row>
    <row r="148" spans="1:13" ht="18">
      <c r="A148" s="246" t="s">
        <v>74</v>
      </c>
      <c r="B148" s="246" t="s">
        <v>138</v>
      </c>
      <c r="C148" s="246" t="s">
        <v>60</v>
      </c>
      <c r="D148" s="279" t="s">
        <v>62</v>
      </c>
      <c r="E148" s="272" t="s">
        <v>1283</v>
      </c>
      <c r="F148" s="116" t="s">
        <v>1284</v>
      </c>
      <c r="G148" s="272">
        <v>3233996576</v>
      </c>
      <c r="H148" s="272" t="s">
        <v>1285</v>
      </c>
      <c r="I148" s="291" t="s">
        <v>1286</v>
      </c>
      <c r="J148" s="240" t="s">
        <v>1287</v>
      </c>
      <c r="K148" s="246" t="s">
        <v>1288</v>
      </c>
      <c r="L148" s="240" t="s">
        <v>1289</v>
      </c>
      <c r="M148" s="246">
        <v>3229132420</v>
      </c>
    </row>
    <row r="149" spans="1:13">
      <c r="A149" s="246" t="s">
        <v>74</v>
      </c>
      <c r="B149" s="246" t="s">
        <v>214</v>
      </c>
      <c r="C149" s="246" t="s">
        <v>216</v>
      </c>
      <c r="D149" s="246" t="s">
        <v>62</v>
      </c>
      <c r="E149" s="272" t="s">
        <v>1290</v>
      </c>
      <c r="F149" s="116" t="s">
        <v>1291</v>
      </c>
      <c r="G149" s="116" t="s">
        <v>1292</v>
      </c>
      <c r="H149" s="274"/>
      <c r="I149" s="116" t="s">
        <v>1293</v>
      </c>
      <c r="J149" s="240" t="s">
        <v>1294</v>
      </c>
      <c r="K149" s="256" t="s">
        <v>823</v>
      </c>
      <c r="L149" s="240" t="s">
        <v>824</v>
      </c>
      <c r="M149" s="262" t="s">
        <v>825</v>
      </c>
    </row>
    <row r="150" spans="1:13">
      <c r="A150" s="246" t="s">
        <v>74</v>
      </c>
      <c r="B150" s="246" t="s">
        <v>218</v>
      </c>
      <c r="C150" s="246" t="s">
        <v>220</v>
      </c>
      <c r="D150" s="246" t="s">
        <v>62</v>
      </c>
      <c r="E150" s="272" t="s">
        <v>1295</v>
      </c>
      <c r="F150" s="116" t="s">
        <v>1296</v>
      </c>
      <c r="G150" s="116" t="s">
        <v>1297</v>
      </c>
      <c r="H150" s="116" t="s">
        <v>1298</v>
      </c>
      <c r="I150" s="116" t="s">
        <v>1299</v>
      </c>
      <c r="J150" s="240" t="s">
        <v>1300</v>
      </c>
      <c r="K150" s="256" t="s">
        <v>823</v>
      </c>
      <c r="L150" s="240" t="s">
        <v>824</v>
      </c>
      <c r="M150" s="262" t="s">
        <v>825</v>
      </c>
    </row>
    <row r="151" spans="1:13">
      <c r="A151" s="246" t="s">
        <v>74</v>
      </c>
      <c r="B151" s="246" t="s">
        <v>113</v>
      </c>
      <c r="C151" s="246" t="s">
        <v>60</v>
      </c>
      <c r="D151" s="246" t="s">
        <v>297</v>
      </c>
      <c r="E151" s="272" t="s">
        <v>1301</v>
      </c>
      <c r="F151" s="280" t="s">
        <v>1302</v>
      </c>
      <c r="G151" s="116"/>
      <c r="H151" s="116" t="s">
        <v>1303</v>
      </c>
      <c r="I151" s="116">
        <v>3155557593</v>
      </c>
      <c r="J151" s="240" t="s">
        <v>1304</v>
      </c>
      <c r="K151" s="256" t="s">
        <v>823</v>
      </c>
      <c r="L151" s="240" t="s">
        <v>824</v>
      </c>
      <c r="M151" s="262" t="s">
        <v>825</v>
      </c>
    </row>
    <row r="152" spans="1:13">
      <c r="A152" s="246" t="s">
        <v>74</v>
      </c>
      <c r="B152" s="246" t="s">
        <v>194</v>
      </c>
      <c r="C152" s="246" t="s">
        <v>188</v>
      </c>
      <c r="D152" s="246" t="s">
        <v>62</v>
      </c>
      <c r="E152" s="272" t="s">
        <v>1305</v>
      </c>
      <c r="F152" s="116" t="s">
        <v>1306</v>
      </c>
      <c r="G152" s="116">
        <v>3154916443</v>
      </c>
      <c r="H152" s="116" t="s">
        <v>1307</v>
      </c>
      <c r="I152" s="116">
        <v>3135422448</v>
      </c>
      <c r="J152" s="240" t="s">
        <v>1308</v>
      </c>
      <c r="K152" s="256" t="s">
        <v>823</v>
      </c>
      <c r="L152" s="240" t="s">
        <v>824</v>
      </c>
      <c r="M152" s="262" t="s">
        <v>825</v>
      </c>
    </row>
    <row r="153" spans="1:13">
      <c r="A153" s="246" t="s">
        <v>74</v>
      </c>
      <c r="B153" s="246" t="s">
        <v>249</v>
      </c>
      <c r="C153" s="246" t="s">
        <v>216</v>
      </c>
      <c r="D153" s="246" t="s">
        <v>297</v>
      </c>
      <c r="E153" s="272" t="s">
        <v>1309</v>
      </c>
      <c r="F153" s="116" t="s">
        <v>1310</v>
      </c>
      <c r="G153" s="272"/>
      <c r="H153" s="116" t="s">
        <v>1311</v>
      </c>
      <c r="I153" s="116" t="s">
        <v>1312</v>
      </c>
      <c r="J153" s="240" t="s">
        <v>1313</v>
      </c>
      <c r="K153" s="256" t="s">
        <v>823</v>
      </c>
      <c r="L153" s="240" t="s">
        <v>824</v>
      </c>
      <c r="M153" s="262" t="s">
        <v>825</v>
      </c>
    </row>
    <row r="154" spans="1:13" ht="41.45">
      <c r="A154" s="256" t="s">
        <v>74</v>
      </c>
      <c r="B154" s="256" t="s">
        <v>72</v>
      </c>
      <c r="C154" s="256" t="s">
        <v>60</v>
      </c>
      <c r="D154" s="256" t="s">
        <v>62</v>
      </c>
      <c r="E154" s="292" t="s">
        <v>1314</v>
      </c>
      <c r="F154" s="293" t="s">
        <v>1315</v>
      </c>
      <c r="G154" s="294" t="s">
        <v>1316</v>
      </c>
      <c r="H154" s="268" t="s">
        <v>1317</v>
      </c>
      <c r="I154" s="295">
        <v>3113402698</v>
      </c>
      <c r="J154" s="240" t="s">
        <v>1318</v>
      </c>
      <c r="K154" s="450" t="s">
        <v>593</v>
      </c>
      <c r="L154" s="451" t="s">
        <v>594</v>
      </c>
      <c r="M154" s="256" t="s">
        <v>595</v>
      </c>
    </row>
    <row r="155" spans="1:13">
      <c r="A155" s="246" t="s">
        <v>74</v>
      </c>
      <c r="B155" s="246" t="s">
        <v>174</v>
      </c>
      <c r="C155" s="246" t="s">
        <v>60</v>
      </c>
      <c r="D155" s="246" t="s">
        <v>297</v>
      </c>
      <c r="E155" s="272" t="s">
        <v>1319</v>
      </c>
      <c r="F155" s="116" t="s">
        <v>1320</v>
      </c>
      <c r="G155" s="116" t="s">
        <v>1321</v>
      </c>
      <c r="H155" s="240" t="s">
        <v>1322</v>
      </c>
      <c r="I155" s="116">
        <v>3137972648</v>
      </c>
      <c r="J155" s="240" t="s">
        <v>1323</v>
      </c>
      <c r="K155" s="256" t="s">
        <v>823</v>
      </c>
      <c r="L155" s="240" t="s">
        <v>824</v>
      </c>
      <c r="M155" s="262" t="s">
        <v>825</v>
      </c>
    </row>
    <row r="156" spans="1:13" ht="18">
      <c r="A156" s="246" t="s">
        <v>74</v>
      </c>
      <c r="B156" s="246" t="s">
        <v>127</v>
      </c>
      <c r="C156" s="246" t="s">
        <v>60</v>
      </c>
      <c r="D156" s="265" t="s">
        <v>62</v>
      </c>
      <c r="E156" s="272" t="s">
        <v>708</v>
      </c>
      <c r="F156" s="296" t="s">
        <v>1324</v>
      </c>
      <c r="G156" s="297" t="s">
        <v>1325</v>
      </c>
      <c r="H156" s="116" t="s">
        <v>1326</v>
      </c>
      <c r="I156" s="116">
        <v>3174380089</v>
      </c>
      <c r="J156" s="240" t="s">
        <v>1327</v>
      </c>
      <c r="K156" s="256" t="s">
        <v>823</v>
      </c>
      <c r="L156" s="240" t="s">
        <v>824</v>
      </c>
      <c r="M156" s="262" t="s">
        <v>825</v>
      </c>
    </row>
    <row r="157" spans="1:13">
      <c r="A157" s="246" t="s">
        <v>74</v>
      </c>
      <c r="B157" s="246" t="s">
        <v>83</v>
      </c>
      <c r="C157" s="246" t="s">
        <v>60</v>
      </c>
      <c r="D157" s="265" t="s">
        <v>62</v>
      </c>
      <c r="E157" s="272" t="s">
        <v>1328</v>
      </c>
      <c r="F157" s="117" t="s">
        <v>1329</v>
      </c>
      <c r="G157" s="117"/>
      <c r="H157" s="116" t="s">
        <v>1330</v>
      </c>
      <c r="I157" s="116">
        <v>3183118758</v>
      </c>
      <c r="J157" s="240" t="s">
        <v>1331</v>
      </c>
      <c r="K157" s="256" t="s">
        <v>823</v>
      </c>
      <c r="L157" s="240" t="s">
        <v>824</v>
      </c>
      <c r="M157" s="262" t="s">
        <v>825</v>
      </c>
    </row>
    <row r="158" spans="1:13" ht="22.5" customHeight="1">
      <c r="A158" s="246" t="s">
        <v>74</v>
      </c>
      <c r="B158" s="246" t="s">
        <v>246</v>
      </c>
      <c r="C158" s="246" t="s">
        <v>299</v>
      </c>
      <c r="D158" s="246" t="s">
        <v>297</v>
      </c>
      <c r="E158" s="272" t="s">
        <v>1332</v>
      </c>
      <c r="F158" s="116" t="s">
        <v>1333</v>
      </c>
      <c r="G158" s="116"/>
      <c r="H158" s="116" t="s">
        <v>1334</v>
      </c>
      <c r="I158" s="116" t="s">
        <v>1335</v>
      </c>
      <c r="J158" s="240" t="s">
        <v>1336</v>
      </c>
      <c r="K158" s="256" t="s">
        <v>823</v>
      </c>
      <c r="L158" s="240" t="s">
        <v>824</v>
      </c>
      <c r="M158" s="262" t="s">
        <v>825</v>
      </c>
    </row>
    <row r="159" spans="1:13">
      <c r="A159" s="246" t="s">
        <v>74</v>
      </c>
      <c r="B159" s="246" t="s">
        <v>104</v>
      </c>
      <c r="C159" s="246" t="s">
        <v>78</v>
      </c>
      <c r="D159" s="246" t="s">
        <v>297</v>
      </c>
      <c r="E159" s="272" t="s">
        <v>1337</v>
      </c>
      <c r="F159" s="117" t="s">
        <v>1338</v>
      </c>
      <c r="G159" s="117"/>
      <c r="H159" s="116" t="s">
        <v>1339</v>
      </c>
      <c r="I159" s="116">
        <v>3185007281</v>
      </c>
      <c r="J159" s="240" t="s">
        <v>1340</v>
      </c>
      <c r="K159" s="256" t="s">
        <v>823</v>
      </c>
      <c r="L159" s="240" t="s">
        <v>824</v>
      </c>
      <c r="M159" s="262" t="s">
        <v>825</v>
      </c>
    </row>
    <row r="160" spans="1:13">
      <c r="A160" s="246" t="s">
        <v>74</v>
      </c>
      <c r="B160" s="246" t="s">
        <v>177</v>
      </c>
      <c r="C160" s="246" t="s">
        <v>60</v>
      </c>
      <c r="D160" s="246" t="s">
        <v>297</v>
      </c>
      <c r="E160" s="272" t="s">
        <v>1341</v>
      </c>
      <c r="F160" s="272" t="s">
        <v>1342</v>
      </c>
      <c r="G160" s="272">
        <v>3174277476</v>
      </c>
      <c r="H160" s="272" t="s">
        <v>1343</v>
      </c>
      <c r="I160" s="272" t="s">
        <v>1344</v>
      </c>
      <c r="J160" s="240" t="s">
        <v>1345</v>
      </c>
      <c r="K160" s="256" t="s">
        <v>823</v>
      </c>
      <c r="L160" s="240" t="s">
        <v>824</v>
      </c>
      <c r="M160" s="262" t="s">
        <v>825</v>
      </c>
    </row>
    <row r="161" spans="1:13" ht="25.5" customHeight="1">
      <c r="A161" s="246" t="s">
        <v>74</v>
      </c>
      <c r="B161" s="246" t="s">
        <v>141</v>
      </c>
      <c r="C161" s="246" t="s">
        <v>60</v>
      </c>
      <c r="D161" s="246" t="s">
        <v>297</v>
      </c>
      <c r="E161" s="272" t="s">
        <v>1346</v>
      </c>
      <c r="F161" s="272" t="s">
        <v>1347</v>
      </c>
      <c r="G161" s="272" t="s">
        <v>1348</v>
      </c>
      <c r="H161" s="272" t="s">
        <v>1349</v>
      </c>
      <c r="I161" s="272"/>
      <c r="J161" s="240" t="s">
        <v>1350</v>
      </c>
      <c r="K161" s="256" t="s">
        <v>823</v>
      </c>
      <c r="L161" s="240" t="s">
        <v>824</v>
      </c>
      <c r="M161" s="262" t="s">
        <v>825</v>
      </c>
    </row>
    <row r="162" spans="1:13" ht="15.75" customHeight="1">
      <c r="A162" s="298" t="s">
        <v>87</v>
      </c>
      <c r="B162" s="298" t="s">
        <v>1351</v>
      </c>
      <c r="C162" s="298" t="s">
        <v>1352</v>
      </c>
      <c r="D162" s="246" t="s">
        <v>297</v>
      </c>
      <c r="E162" s="272" t="s">
        <v>1353</v>
      </c>
      <c r="F162" s="272" t="s">
        <v>1354</v>
      </c>
      <c r="G162" s="272" t="s">
        <v>1355</v>
      </c>
      <c r="H162" s="272"/>
      <c r="I162" s="272"/>
      <c r="J162" s="240" t="s">
        <v>1356</v>
      </c>
      <c r="K162" s="256" t="s">
        <v>627</v>
      </c>
      <c r="L162" s="240" t="s">
        <v>628</v>
      </c>
      <c r="M162" s="262">
        <v>3212354912</v>
      </c>
    </row>
    <row r="163" spans="1:13" ht="15.75" customHeight="1">
      <c r="A163" s="298" t="s">
        <v>87</v>
      </c>
      <c r="B163" s="298" t="s">
        <v>1357</v>
      </c>
      <c r="C163" s="246" t="s">
        <v>60</v>
      </c>
      <c r="D163" s="246" t="s">
        <v>297</v>
      </c>
      <c r="E163" s="272" t="s">
        <v>1358</v>
      </c>
      <c r="F163" s="272" t="s">
        <v>1359</v>
      </c>
      <c r="G163" s="272">
        <v>3214549027</v>
      </c>
      <c r="H163" s="272"/>
      <c r="I163" s="272"/>
      <c r="J163" s="240" t="s">
        <v>1360</v>
      </c>
      <c r="K163" s="246" t="s">
        <v>808</v>
      </c>
      <c r="L163" s="262" t="s">
        <v>809</v>
      </c>
      <c r="M163" s="246" t="s">
        <v>810</v>
      </c>
    </row>
    <row r="164" spans="1:13">
      <c r="A164" s="299" t="s">
        <v>74</v>
      </c>
      <c r="B164" s="299" t="s">
        <v>1361</v>
      </c>
      <c r="C164" s="300" t="s">
        <v>60</v>
      </c>
      <c r="D164" s="300" t="s">
        <v>297</v>
      </c>
      <c r="E164" s="301" t="s">
        <v>1362</v>
      </c>
      <c r="F164" s="301" t="s">
        <v>1363</v>
      </c>
      <c r="G164" s="301"/>
      <c r="H164" s="302" t="s">
        <v>1364</v>
      </c>
      <c r="I164" s="302" t="s">
        <v>1365</v>
      </c>
      <c r="J164" s="240" t="s">
        <v>1366</v>
      </c>
      <c r="K164" s="256" t="s">
        <v>823</v>
      </c>
      <c r="L164" s="240" t="s">
        <v>824</v>
      </c>
      <c r="M164" s="262" t="s">
        <v>825</v>
      </c>
    </row>
    <row r="165" spans="1:13">
      <c r="A165" s="299" t="s">
        <v>203</v>
      </c>
      <c r="B165" s="299" t="s">
        <v>1367</v>
      </c>
      <c r="C165" s="299" t="s">
        <v>60</v>
      </c>
      <c r="D165" s="300" t="s">
        <v>297</v>
      </c>
      <c r="E165" s="303" t="s">
        <v>1368</v>
      </c>
      <c r="F165" s="303" t="s">
        <v>1369</v>
      </c>
      <c r="G165" s="303">
        <v>3155057128</v>
      </c>
      <c r="H165" s="302" t="s">
        <v>1370</v>
      </c>
      <c r="I165" s="302">
        <v>3156352086</v>
      </c>
      <c r="J165" s="240" t="s">
        <v>1371</v>
      </c>
      <c r="K165" s="246" t="s">
        <v>808</v>
      </c>
      <c r="L165" s="262" t="s">
        <v>809</v>
      </c>
      <c r="M165" s="246" t="s">
        <v>810</v>
      </c>
    </row>
    <row r="166" spans="1:13" ht="20.45">
      <c r="A166" s="298" t="s">
        <v>256</v>
      </c>
      <c r="B166" s="298" t="s">
        <v>1372</v>
      </c>
      <c r="C166" s="298" t="s">
        <v>220</v>
      </c>
      <c r="D166" s="246" t="s">
        <v>297</v>
      </c>
      <c r="E166" s="304" t="s">
        <v>698</v>
      </c>
      <c r="F166" s="272" t="s">
        <v>1373</v>
      </c>
      <c r="G166" s="272" t="s">
        <v>1374</v>
      </c>
      <c r="H166" s="272" t="s">
        <v>1375</v>
      </c>
      <c r="I166" s="305"/>
      <c r="J166" s="240" t="s">
        <v>1376</v>
      </c>
      <c r="K166" s="256" t="s">
        <v>627</v>
      </c>
      <c r="L166" s="240" t="s">
        <v>628</v>
      </c>
      <c r="M166" s="262">
        <v>3212354912</v>
      </c>
    </row>
    <row r="167" spans="1:13" ht="18">
      <c r="A167" s="306" t="s">
        <v>1377</v>
      </c>
      <c r="B167" s="306" t="s">
        <v>1378</v>
      </c>
      <c r="C167" s="306" t="s">
        <v>1379</v>
      </c>
      <c r="D167" s="307" t="s">
        <v>297</v>
      </c>
      <c r="E167" s="301" t="s">
        <v>1380</v>
      </c>
      <c r="F167" s="292" t="s">
        <v>1381</v>
      </c>
      <c r="G167" s="292" t="s">
        <v>1382</v>
      </c>
      <c r="H167" s="308" t="s">
        <v>1383</v>
      </c>
      <c r="I167" s="308" t="s">
        <v>1384</v>
      </c>
      <c r="J167" s="240" t="s">
        <v>1385</v>
      </c>
      <c r="K167" s="256" t="s">
        <v>627</v>
      </c>
      <c r="L167" s="240" t="s">
        <v>628</v>
      </c>
      <c r="M167" s="262">
        <v>3212354912</v>
      </c>
    </row>
    <row r="168" spans="1:13">
      <c r="A168" s="299" t="s">
        <v>87</v>
      </c>
      <c r="B168" s="299" t="s">
        <v>85</v>
      </c>
      <c r="C168" s="300" t="s">
        <v>60</v>
      </c>
      <c r="D168" s="300"/>
      <c r="E168" s="401" t="s">
        <v>1386</v>
      </c>
      <c r="F168" s="398" t="s">
        <v>1387</v>
      </c>
      <c r="G168" s="397">
        <v>3153175733</v>
      </c>
      <c r="H168" s="274"/>
      <c r="I168" s="274"/>
      <c r="J168" s="240" t="s">
        <v>1388</v>
      </c>
      <c r="K168" s="256" t="s">
        <v>788</v>
      </c>
      <c r="L168" s="240" t="s">
        <v>789</v>
      </c>
      <c r="M168" s="262">
        <v>3212354912</v>
      </c>
    </row>
    <row r="169" spans="1:13">
      <c r="A169" s="298" t="s">
        <v>87</v>
      </c>
      <c r="B169" s="306" t="s">
        <v>96</v>
      </c>
      <c r="C169" s="300" t="s">
        <v>60</v>
      </c>
      <c r="D169" s="307"/>
      <c r="E169" s="301"/>
      <c r="F169" s="398" t="s">
        <v>1389</v>
      </c>
      <c r="G169" s="397">
        <v>3163560645</v>
      </c>
      <c r="H169" s="302"/>
      <c r="I169" s="302"/>
      <c r="J169" s="240" t="s">
        <v>1390</v>
      </c>
      <c r="K169" s="256" t="s">
        <v>788</v>
      </c>
      <c r="L169" s="240" t="s">
        <v>789</v>
      </c>
      <c r="M169" s="262">
        <v>3212354912</v>
      </c>
    </row>
    <row r="170" spans="1:13">
      <c r="A170" s="299" t="s">
        <v>87</v>
      </c>
      <c r="B170" s="299" t="s">
        <v>327</v>
      </c>
      <c r="C170" s="246" t="s">
        <v>60</v>
      </c>
      <c r="D170" s="300"/>
      <c r="E170" s="301"/>
      <c r="F170" s="301"/>
      <c r="G170" s="301"/>
      <c r="H170" s="274"/>
      <c r="I170" s="274"/>
      <c r="J170" s="240" t="s">
        <v>1391</v>
      </c>
      <c r="K170" s="256" t="s">
        <v>788</v>
      </c>
      <c r="L170" s="240" t="s">
        <v>789</v>
      </c>
      <c r="M170" s="262">
        <v>3212354912</v>
      </c>
    </row>
    <row r="171" spans="1:13">
      <c r="A171" s="299" t="s">
        <v>87</v>
      </c>
      <c r="B171" s="306" t="s">
        <v>152</v>
      </c>
      <c r="C171" s="246" t="s">
        <v>60</v>
      </c>
      <c r="D171" s="307"/>
      <c r="E171" s="301"/>
      <c r="F171" s="398" t="s">
        <v>1392</v>
      </c>
      <c r="G171" s="397">
        <v>3177958092</v>
      </c>
      <c r="H171" s="302"/>
      <c r="I171" s="302"/>
      <c r="J171" s="240" t="s">
        <v>1393</v>
      </c>
      <c r="K171" s="256" t="s">
        <v>788</v>
      </c>
      <c r="L171" s="240" t="s">
        <v>789</v>
      </c>
      <c r="M171" s="262">
        <v>3212354912</v>
      </c>
    </row>
    <row r="172" spans="1:13">
      <c r="A172" s="299" t="s">
        <v>87</v>
      </c>
      <c r="B172" s="299" t="s">
        <v>208</v>
      </c>
      <c r="C172" s="306" t="s">
        <v>1379</v>
      </c>
      <c r="D172" s="300"/>
      <c r="E172" s="301"/>
      <c r="F172" t="s">
        <v>1394</v>
      </c>
      <c r="G172" s="397">
        <v>3104541408</v>
      </c>
      <c r="H172" s="302"/>
      <c r="I172" s="302"/>
      <c r="J172" s="240" t="s">
        <v>1395</v>
      </c>
      <c r="K172" s="256" t="s">
        <v>627</v>
      </c>
      <c r="L172" s="240" t="s">
        <v>628</v>
      </c>
      <c r="M172" s="262">
        <v>3212354912</v>
      </c>
    </row>
    <row r="173" spans="1:13">
      <c r="A173" s="298" t="s">
        <v>87</v>
      </c>
      <c r="B173" s="299" t="s">
        <v>325</v>
      </c>
      <c r="C173" s="300" t="s">
        <v>60</v>
      </c>
      <c r="D173" s="300"/>
      <c r="E173" s="301"/>
      <c r="F173" s="398" t="s">
        <v>1396</v>
      </c>
      <c r="G173" s="397">
        <v>3214614945</v>
      </c>
      <c r="H173" s="302"/>
      <c r="I173" s="302"/>
      <c r="J173" s="240" t="s">
        <v>1397</v>
      </c>
      <c r="K173" s="256" t="s">
        <v>788</v>
      </c>
      <c r="L173" s="240" t="s">
        <v>789</v>
      </c>
      <c r="M173" s="262">
        <v>3212354912</v>
      </c>
    </row>
    <row r="174" spans="1:13">
      <c r="A174" s="298" t="s">
        <v>87</v>
      </c>
      <c r="B174" s="299" t="s">
        <v>94</v>
      </c>
      <c r="C174" s="300" t="s">
        <v>60</v>
      </c>
      <c r="D174" s="300"/>
      <c r="E174" s="301"/>
      <c r="F174" s="301"/>
      <c r="G174" s="301"/>
      <c r="H174" s="274"/>
      <c r="I174" s="274"/>
      <c r="J174" s="240" t="s">
        <v>1073</v>
      </c>
      <c r="K174" s="256" t="s">
        <v>788</v>
      </c>
      <c r="L174" s="240" t="s">
        <v>789</v>
      </c>
      <c r="M174" s="262">
        <v>3212354912</v>
      </c>
    </row>
    <row r="175" spans="1:13">
      <c r="A175" s="299" t="s">
        <v>87</v>
      </c>
      <c r="B175" s="306" t="s">
        <v>1398</v>
      </c>
      <c r="C175" s="300" t="s">
        <v>60</v>
      </c>
      <c r="D175" s="307"/>
      <c r="E175" s="301"/>
      <c r="F175" s="301"/>
      <c r="G175" s="301"/>
      <c r="H175" s="274"/>
      <c r="I175" s="274"/>
      <c r="J175" s="240" t="s">
        <v>1399</v>
      </c>
      <c r="K175" s="256" t="s">
        <v>788</v>
      </c>
      <c r="L175" s="240" t="s">
        <v>789</v>
      </c>
      <c r="M175" s="262">
        <v>3212354912</v>
      </c>
    </row>
    <row r="176" spans="1:13">
      <c r="A176" s="299" t="s">
        <v>87</v>
      </c>
      <c r="B176" s="306" t="s">
        <v>372</v>
      </c>
      <c r="C176" s="300" t="s">
        <v>60</v>
      </c>
      <c r="D176" s="307"/>
      <c r="E176" s="401" t="s">
        <v>1400</v>
      </c>
      <c r="F176" s="398" t="s">
        <v>1401</v>
      </c>
      <c r="G176" s="397">
        <v>3177974966</v>
      </c>
      <c r="H176" s="302"/>
      <c r="I176" s="302"/>
      <c r="J176" s="240" t="s">
        <v>1402</v>
      </c>
      <c r="K176" s="256" t="s">
        <v>788</v>
      </c>
      <c r="L176" s="240" t="s">
        <v>789</v>
      </c>
      <c r="M176" s="262">
        <v>3212354912</v>
      </c>
    </row>
    <row r="177" spans="1:13">
      <c r="A177" s="299" t="s">
        <v>87</v>
      </c>
      <c r="B177" s="299" t="s">
        <v>162</v>
      </c>
      <c r="C177" s="246" t="s">
        <v>60</v>
      </c>
      <c r="D177" s="300"/>
      <c r="E177" s="301"/>
      <c r="F177" s="398" t="s">
        <v>1403</v>
      </c>
      <c r="G177" s="397">
        <v>3233978104</v>
      </c>
      <c r="H177" s="274"/>
      <c r="I177" s="274"/>
      <c r="J177" s="240" t="s">
        <v>1404</v>
      </c>
      <c r="K177" s="256" t="s">
        <v>788</v>
      </c>
      <c r="L177" s="240" t="s">
        <v>789</v>
      </c>
      <c r="M177" s="262">
        <v>3212354912</v>
      </c>
    </row>
    <row r="178" spans="1:13">
      <c r="A178" s="299" t="s">
        <v>87</v>
      </c>
      <c r="B178" s="299" t="s">
        <v>323</v>
      </c>
      <c r="C178" s="246" t="s">
        <v>60</v>
      </c>
      <c r="D178" s="300"/>
      <c r="E178" s="301"/>
      <c r="F178" s="398" t="s">
        <v>1405</v>
      </c>
      <c r="G178" s="397">
        <v>3138971528</v>
      </c>
      <c r="H178" s="274"/>
      <c r="I178" s="274"/>
      <c r="J178" s="240" t="s">
        <v>1406</v>
      </c>
      <c r="K178" s="256" t="s">
        <v>788</v>
      </c>
      <c r="L178" s="240" t="s">
        <v>789</v>
      </c>
      <c r="M178" s="262">
        <v>3212354912</v>
      </c>
    </row>
    <row r="179" spans="1:13">
      <c r="A179" s="299" t="s">
        <v>87</v>
      </c>
      <c r="B179" s="306" t="s">
        <v>328</v>
      </c>
      <c r="C179" s="246" t="s">
        <v>60</v>
      </c>
      <c r="D179" s="307"/>
      <c r="E179" s="301"/>
      <c r="F179" s="398" t="s">
        <v>1407</v>
      </c>
      <c r="G179" s="397">
        <v>3233978103</v>
      </c>
      <c r="H179" s="274"/>
      <c r="I179" s="274"/>
      <c r="J179" s="240" t="s">
        <v>1408</v>
      </c>
      <c r="K179" s="256" t="s">
        <v>788</v>
      </c>
      <c r="L179" s="240" t="s">
        <v>789</v>
      </c>
      <c r="M179" s="262">
        <v>3212354912</v>
      </c>
    </row>
    <row r="180" spans="1:13">
      <c r="A180" s="299" t="s">
        <v>87</v>
      </c>
      <c r="B180" s="306" t="s">
        <v>1409</v>
      </c>
      <c r="C180" s="246" t="s">
        <v>60</v>
      </c>
      <c r="D180" s="307"/>
      <c r="E180" s="423" t="s">
        <v>1410</v>
      </c>
      <c r="F180" s="398" t="s">
        <v>1411</v>
      </c>
      <c r="G180" s="397">
        <v>3173676549</v>
      </c>
      <c r="H180" s="302"/>
      <c r="I180" s="302"/>
      <c r="J180" s="399" t="s">
        <v>1412</v>
      </c>
      <c r="K180" s="256" t="s">
        <v>627</v>
      </c>
      <c r="L180" s="240" t="s">
        <v>628</v>
      </c>
      <c r="M180" s="262">
        <v>3212354912</v>
      </c>
    </row>
    <row r="181" spans="1:13">
      <c r="A181" s="299" t="s">
        <v>87</v>
      </c>
      <c r="B181" s="306" t="s">
        <v>150</v>
      </c>
      <c r="C181" s="246" t="s">
        <v>60</v>
      </c>
      <c r="D181" s="307"/>
      <c r="E181" s="301"/>
      <c r="F181" s="398" t="s">
        <v>1413</v>
      </c>
      <c r="G181" s="397">
        <v>3183893190</v>
      </c>
      <c r="H181" s="302"/>
      <c r="I181" s="302"/>
      <c r="J181" s="309" t="s">
        <v>1414</v>
      </c>
      <c r="K181" s="256" t="s">
        <v>788</v>
      </c>
      <c r="L181" s="240" t="s">
        <v>789</v>
      </c>
      <c r="M181" s="262">
        <v>3212354912</v>
      </c>
    </row>
    <row r="182" spans="1:13">
      <c r="A182" s="299" t="s">
        <v>87</v>
      </c>
      <c r="B182" s="299" t="s">
        <v>1415</v>
      </c>
      <c r="C182" s="246" t="s">
        <v>60</v>
      </c>
      <c r="D182" s="300"/>
      <c r="E182" s="301"/>
      <c r="F182" s="301"/>
      <c r="G182" s="301"/>
      <c r="H182" s="302"/>
      <c r="I182" s="302"/>
      <c r="J182" s="425" t="s">
        <v>1416</v>
      </c>
      <c r="K182" s="424"/>
      <c r="L182" s="424"/>
      <c r="M182" s="424"/>
    </row>
    <row r="183" spans="1:13">
      <c r="A183" s="299" t="s">
        <v>87</v>
      </c>
      <c r="B183" s="299" t="s">
        <v>156</v>
      </c>
      <c r="C183" s="246" t="s">
        <v>60</v>
      </c>
      <c r="D183" s="300"/>
      <c r="E183" s="301"/>
      <c r="F183" s="301"/>
      <c r="G183" s="301"/>
      <c r="H183" s="302"/>
      <c r="I183" s="302"/>
      <c r="J183" s="426" t="s">
        <v>1417</v>
      </c>
      <c r="K183" s="424"/>
      <c r="L183" s="424"/>
      <c r="M183" s="424"/>
    </row>
    <row r="184" spans="1:13">
      <c r="A184" s="299" t="s">
        <v>87</v>
      </c>
      <c r="B184" s="299" t="s">
        <v>172</v>
      </c>
      <c r="C184" s="246" t="s">
        <v>60</v>
      </c>
      <c r="D184" s="300"/>
      <c r="E184" s="301"/>
      <c r="F184" s="301"/>
      <c r="G184" s="301"/>
      <c r="H184" s="302"/>
      <c r="I184" s="302"/>
      <c r="J184" s="427" t="s">
        <v>1418</v>
      </c>
      <c r="K184" s="256" t="s">
        <v>788</v>
      </c>
      <c r="L184" s="240" t="s">
        <v>789</v>
      </c>
      <c r="M184" s="246">
        <v>3168785276</v>
      </c>
    </row>
    <row r="185" spans="1:13">
      <c r="A185" s="299" t="s">
        <v>87</v>
      </c>
      <c r="B185" s="299" t="s">
        <v>336</v>
      </c>
      <c r="C185" s="246" t="s">
        <v>60</v>
      </c>
      <c r="D185" s="300"/>
      <c r="E185" s="301"/>
      <c r="F185" s="301"/>
      <c r="G185" s="301"/>
      <c r="H185" s="302"/>
      <c r="I185" s="302"/>
      <c r="J185" s="399" t="s">
        <v>1083</v>
      </c>
      <c r="K185" s="424"/>
      <c r="L185" s="424"/>
      <c r="M185" s="424"/>
    </row>
    <row r="186" spans="1:13">
      <c r="A186" s="299" t="s">
        <v>87</v>
      </c>
      <c r="B186" s="299" t="s">
        <v>346</v>
      </c>
      <c r="C186" s="246" t="s">
        <v>60</v>
      </c>
      <c r="D186" s="300"/>
      <c r="E186" s="301"/>
      <c r="F186" s="301"/>
      <c r="G186" s="301"/>
      <c r="H186" s="302"/>
      <c r="I186" s="302"/>
      <c r="J186" s="399" t="s">
        <v>1419</v>
      </c>
      <c r="K186" s="424"/>
      <c r="L186" s="424"/>
      <c r="M186" s="424"/>
    </row>
    <row r="187" spans="1:13">
      <c r="A187" s="299" t="s">
        <v>87</v>
      </c>
      <c r="B187" s="299" t="s">
        <v>1420</v>
      </c>
      <c r="C187" s="246" t="s">
        <v>60</v>
      </c>
      <c r="D187" s="300"/>
      <c r="E187" s="423" t="s">
        <v>1421</v>
      </c>
      <c r="F187" s="301"/>
      <c r="G187" s="301"/>
      <c r="H187" s="302"/>
      <c r="I187" s="302"/>
      <c r="J187" s="426" t="s">
        <v>1422</v>
      </c>
      <c r="K187" s="424"/>
      <c r="L187" s="424"/>
      <c r="M187" s="424"/>
    </row>
  </sheetData>
  <conditionalFormatting sqref="B168:B169">
    <cfRule type="duplicateValues" dxfId="57" priority="7"/>
  </conditionalFormatting>
  <conditionalFormatting sqref="B170:B171">
    <cfRule type="duplicateValues" dxfId="56" priority="6"/>
  </conditionalFormatting>
  <conditionalFormatting sqref="B172">
    <cfRule type="duplicateValues" dxfId="55" priority="5"/>
  </conditionalFormatting>
  <conditionalFormatting sqref="B173">
    <cfRule type="duplicateValues" dxfId="54" priority="4"/>
  </conditionalFormatting>
  <conditionalFormatting sqref="B174:B176">
    <cfRule type="duplicateValues" dxfId="53" priority="3"/>
  </conditionalFormatting>
  <conditionalFormatting sqref="B177">
    <cfRule type="duplicateValues" dxfId="52" priority="8"/>
  </conditionalFormatting>
  <conditionalFormatting sqref="B178:B181">
    <cfRule type="duplicateValues" dxfId="51" priority="2"/>
  </conditionalFormatting>
  <conditionalFormatting sqref="B182:B186">
    <cfRule type="duplicateValues" dxfId="50" priority="9"/>
  </conditionalFormatting>
  <conditionalFormatting sqref="B187">
    <cfRule type="duplicateValues" dxfId="49" priority="1"/>
  </conditionalFormatting>
  <hyperlinks>
    <hyperlink ref="J5" r:id="rId1" xr:uid="{1AD645A6-750F-4109-9DD7-2CF5F8AD7396}"/>
    <hyperlink ref="J2" r:id="rId2" xr:uid="{E441EA56-B1DA-4745-810C-4913D18AB63C}"/>
    <hyperlink ref="J3" r:id="rId3" display="pilargiraldo@comfandi.com.co,claudiacastillo@comfandi.com.co" xr:uid="{2D8248C3-90A1-461A-869F-717FBA1E29B9}"/>
    <hyperlink ref="J6" r:id="rId4" display="victoriavelasquez@comfandi.com.co,julianagallego@comfandi.com.co" xr:uid="{DBB846A2-A847-4E44-B629-1E55B498807F}"/>
    <hyperlink ref="J9" r:id="rId5" display="claudiatamayo@comfandi.com.co,dianaarboleda@comfandi.com.co" xr:uid="{21D0905C-0D83-433D-993A-00986A1A36AF}"/>
    <hyperlink ref="J15" r:id="rId6" display="directorcolegiobuga@comfandi.com.co,dianaarboleda@comfandi.com.co" xr:uid="{5E6DEF95-F4E0-4512-914D-A2886C3A38AF}"/>
    <hyperlink ref="J18" r:id="rId7" display="directoracolegiostulua@comfandi.com.co,dianaarboleda@comfandi.com.co" xr:uid="{A62F3E2B-8E95-42A3-BE12-A660B470AEA6}"/>
    <hyperlink ref="J30" r:id="rId8" display="doraguzman@comfandi.com.co,dianaarboleda@comfandi.com.co" xr:uid="{F71D1E86-BA85-41C8-A979-AEC85C2829AD}"/>
    <hyperlink ref="J31" r:id="rId9" display="norhabedoya@comfandi.com.co,dianaarboleda@comfandi.com.co" xr:uid="{74B7B941-C61E-4F44-B9A6-51A1A3909437}"/>
    <hyperlink ref="J36" r:id="rId10" display="alexisrojasospina@comfandi.com.co" xr:uid="{5F5C4E8C-CD1F-4D7B-A233-BA9F1AC25CBB}"/>
    <hyperlink ref="J37" r:id="rId11" display="karenmurcia@comfandi.com.co,dorianmarquez@comfandi.com.co" xr:uid="{CBF7B263-B099-4796-A46C-55D625090C40}"/>
    <hyperlink ref="J38" r:id="rId12" display="alejandroaguirre@comfandi.com.co" xr:uid="{C47ACA89-4164-4411-88DC-EB9054D6761D}"/>
    <hyperlink ref="J39" r:id="rId13" display="claudiagrueso@comfandi.com.co,mariafernandalopez@comfandi.com.co" xr:uid="{94DDC2A8-6149-42F6-89BF-C0297BE5C6D4}"/>
    <hyperlink ref="J41" r:id="rId14" xr:uid="{9CD77674-19B9-41F0-9485-DF1D28180B95}"/>
    <hyperlink ref="J42" r:id="rId15" xr:uid="{44FCD37E-7831-4FD0-8A4F-82E84B3BE522}"/>
    <hyperlink ref="J43" r:id="rId16" display="mailto:superciudadela@comfandi.com.co" xr:uid="{C344B38C-AB31-486F-A63A-1C9B8DC29D6D}"/>
    <hyperlink ref="J44" r:id="rId17" xr:uid="{2CD42679-9F76-46B8-A7BF-5771DBA4BDDF}"/>
    <hyperlink ref="J45" r:id="rId18" display="mailto:superlamerced@comfandi.com.co" xr:uid="{229809ED-A001-4533-B5D8-FB2B888ABF3B}"/>
    <hyperlink ref="J46" r:id="rId19" xr:uid="{B3305349-4541-485C-A24A-81E10B0191AD}"/>
    <hyperlink ref="J47" r:id="rId20" xr:uid="{A64ED512-A511-4FC5-8580-4F37D16BAC99}"/>
    <hyperlink ref="J49" r:id="rId21" display="mailto:supermercadomorichal@comfandi.com.co" xr:uid="{F01DBF51-15AA-424B-B25D-7D34A3928CE8}"/>
    <hyperlink ref="J50" r:id="rId22" xr:uid="{1BA09D8F-6160-4336-AEF3-A1F9725D501E}"/>
    <hyperlink ref="J51" r:id="rId23" xr:uid="{877FD557-7C6C-4737-BC2C-D02D025C9F92}"/>
    <hyperlink ref="J52" r:id="rId24" xr:uid="{BE59766A-9D1B-4A94-82A9-2E5BE4942B7B}"/>
    <hyperlink ref="J53" r:id="rId25" xr:uid="{F977CDD2-614B-4D44-9690-001FCC4BD495}"/>
    <hyperlink ref="J54" r:id="rId26" xr:uid="{90442CE5-30F9-4E73-97F4-E6DA61450DF8}"/>
    <hyperlink ref="J55" r:id="rId27" xr:uid="{F275130F-8A77-4893-A912-3393DC03A670}"/>
    <hyperlink ref="J56" r:id="rId28" xr:uid="{98C8BC0B-74B5-4220-B81A-1C625D97274A}"/>
    <hyperlink ref="J57" r:id="rId29" xr:uid="{50C6A2CD-AE72-4A28-902F-10E7247CF731}"/>
    <hyperlink ref="J58" r:id="rId30" xr:uid="{4820BDCF-4CDD-4303-8874-4872D5CA88C7}"/>
    <hyperlink ref="J59" r:id="rId31" xr:uid="{ADED8C30-AD7D-47B6-A3A9-BDCD4A6E930D}"/>
    <hyperlink ref="J60" r:id="rId32" display="ramirorojas@comfandi.com.co,octaviogomez@comfandi.com.co" xr:uid="{6A680844-E378-49D9-9F74-F4280068ADD6}"/>
    <hyperlink ref="J61" r:id="rId33" xr:uid="{F8FF9301-30D3-4549-9F3B-E8840CCC678B}"/>
    <hyperlink ref="J62" r:id="rId34" xr:uid="{6C3A4422-FBED-46B8-AB46-72436C0A2F3F}"/>
    <hyperlink ref="J63" r:id="rId35" xr:uid="{DB7FA46F-5B1B-40E6-9054-22DEE7EB365F}"/>
    <hyperlink ref="J64" r:id="rId36" xr:uid="{43F7A6E2-8645-4237-A6D5-B0CCC1B40CDC}"/>
    <hyperlink ref="J65" r:id="rId37" xr:uid="{BBDDD458-0F2D-402C-A876-53302AD7BA53}"/>
    <hyperlink ref="J66" r:id="rId38" xr:uid="{05FB2EFF-F392-4DAF-8F7F-7E5E2B2D6048}"/>
    <hyperlink ref="J67" r:id="rId39" xr:uid="{FAECD465-24FA-4D4D-855C-64BDAC7F9CBF}"/>
    <hyperlink ref="J68" r:id="rId40" xr:uid="{BF5D46EF-3021-4941-B578-755F6DB34CBC}"/>
    <hyperlink ref="J69" r:id="rId41" xr:uid="{BF6E80BB-8CAF-4999-BAAA-9F4DDF3A37A7}"/>
    <hyperlink ref="J70" r:id="rId42" xr:uid="{E8E00C67-9A42-4AEB-9A25-542E94A30523}"/>
    <hyperlink ref="J71" r:id="rId43" xr:uid="{89E9E5ED-0C9B-4E27-9D2E-CFD4D30BE074}"/>
    <hyperlink ref="J72" r:id="rId44" xr:uid="{1C0B8F5E-7480-4922-91FF-F00C401DEC82}"/>
    <hyperlink ref="J73" r:id="rId45" xr:uid="{A424B2EE-791D-4043-ABA8-93375236D663}"/>
    <hyperlink ref="J74" r:id="rId46" xr:uid="{27D1F630-CEBF-4905-8D20-4F87E51B8EFC}"/>
    <hyperlink ref="J75" r:id="rId47" xr:uid="{DDCE8D63-DEC5-44E8-8BAB-28F820D22F97}"/>
    <hyperlink ref="J76" r:id="rId48" xr:uid="{BA02FD97-53C4-4B38-B912-9CB3B85F4302}"/>
    <hyperlink ref="J77" r:id="rId49" xr:uid="{8F613A5A-61D5-4358-89BE-F9D9022E74C1}"/>
    <hyperlink ref="J78" r:id="rId50" xr:uid="{372EFE16-64F9-4D52-BAFA-B40592CEB0B4}"/>
    <hyperlink ref="J79" r:id="rId51" xr:uid="{B90926F3-744D-41B6-9BD2-EF5D70A9422D}"/>
    <hyperlink ref="J80" r:id="rId52" xr:uid="{FE816E1C-F23E-4BC4-B32A-33B75303034A}"/>
    <hyperlink ref="J81" r:id="rId53" xr:uid="{D3B00AE1-4273-4E3B-97ED-EF65A51B8D0D}"/>
    <hyperlink ref="J82" r:id="rId54" xr:uid="{D0D2090B-BF46-4333-9930-95A74369B416}"/>
    <hyperlink ref="J83" r:id="rId55" xr:uid="{462B59E6-6CB3-4FD8-9D24-DC6FD607DC4A}"/>
    <hyperlink ref="J85" r:id="rId56" xr:uid="{E568B827-327A-47BC-8A27-1CFC82A8F94B}"/>
    <hyperlink ref="J86" r:id="rId57" xr:uid="{99448F5D-358C-4107-AE3A-95DDC9E59659}"/>
    <hyperlink ref="J87" r:id="rId58" xr:uid="{0EDEAC76-7DD1-4B40-B883-29F354135014}"/>
    <hyperlink ref="J88" r:id="rId59" xr:uid="{18100486-29FA-4778-A543-BE5B111D2B3D}"/>
    <hyperlink ref="J89" r:id="rId60" xr:uid="{B2CEE617-DF2F-4814-B5BF-E8E4F06949A0}"/>
    <hyperlink ref="J90" r:id="rId61" xr:uid="{29062839-BA52-4101-95A3-ECE74A1AC131}"/>
    <hyperlink ref="J93" r:id="rId62" xr:uid="{7460539B-14CD-4376-B482-1D42C0AE3792}"/>
    <hyperlink ref="J92" r:id="rId63" xr:uid="{0CF7D096-9FA3-4083-A2C9-6F910AA2ACCF}"/>
    <hyperlink ref="J94" r:id="rId64" xr:uid="{15068B9E-B5B0-4BC2-8F17-0F92E32D9A0D}"/>
    <hyperlink ref="J95" r:id="rId65" xr:uid="{09BEB8BC-4971-46C9-A9A0-1260B839B1D9}"/>
    <hyperlink ref="J96" r:id="rId66" xr:uid="{E858084E-8E2B-450A-8605-8647BB5CF436}"/>
    <hyperlink ref="J97" r:id="rId67" xr:uid="{1DBA42D6-934C-46C1-B7F3-35EAE2440E64}"/>
    <hyperlink ref="J98" r:id="rId68" xr:uid="{9C484739-ED99-490E-8144-3A0C3BC9F112}"/>
    <hyperlink ref="J101" r:id="rId69" xr:uid="{3483B468-3117-47A2-A23A-C41254B78017}"/>
    <hyperlink ref="J102" r:id="rId70" xr:uid="{97D9C044-2A55-4E7F-9ECB-FD32905109C0}"/>
    <hyperlink ref="J103" r:id="rId71" xr:uid="{15A36E73-3FB0-4E03-9AE0-5AF0910C29A3}"/>
    <hyperlink ref="J104" r:id="rId72" xr:uid="{DC7E0BB2-8776-4137-A68C-6FFE6821D13D}"/>
    <hyperlink ref="J105" r:id="rId73" xr:uid="{B92C97CD-5DF7-441E-8E40-9F621F30CE31}"/>
    <hyperlink ref="J106" r:id="rId74" xr:uid="{08189E05-CE62-4091-8D8B-2198E38B6EE7}"/>
    <hyperlink ref="J107" r:id="rId75" xr:uid="{73028E1F-E97B-42E7-803E-D79102123CEE}"/>
    <hyperlink ref="J109" r:id="rId76" display="mailto:superpalmira@comfandi.com.co" xr:uid="{803606D7-FAC7-460E-A2A7-22E43A36B0E4}"/>
    <hyperlink ref="J110" r:id="rId77" xr:uid="{AE3EB312-03D7-42E7-ACDD-756B7499878E}"/>
    <hyperlink ref="J112" r:id="rId78" display="mailto:superginebra@comfandi.com.co" xr:uid="{8694FFE5-B272-4525-BFEC-4572FB1AFC57}"/>
    <hyperlink ref="J113" r:id="rId79" xr:uid="{2A2E8AC3-2785-4CCC-ABCA-83C2635D0F88}"/>
    <hyperlink ref="J114" r:id="rId80" xr:uid="{210635D0-74CA-4446-B85E-AB789F1DCA75}"/>
    <hyperlink ref="J115" r:id="rId81" xr:uid="{1713C9E5-82E3-4A6D-923B-A65A0DDA14B1}"/>
    <hyperlink ref="J116" r:id="rId82" xr:uid="{03D6DBD7-A085-4305-BAEB-4A5F76F2D79B}"/>
    <hyperlink ref="J117" r:id="rId83" xr:uid="{79833443-14A4-4CED-9D4C-3EB3D2DC6A9E}"/>
    <hyperlink ref="J118" r:id="rId84" xr:uid="{DBCE1DB5-4F2F-4DA3-8D2D-2A46B7F8CE61}"/>
    <hyperlink ref="J119" r:id="rId85" display="mailto:superbugaprincipal@comfandi.com.co" xr:uid="{2C9A50DF-9DFC-4C86-92AE-CA1DD84CEDA7}"/>
    <hyperlink ref="J120" r:id="rId86" xr:uid="{B6BCA314-F96D-499F-B730-4A0835573EDE}"/>
    <hyperlink ref="J121" r:id="rId87" xr:uid="{590455E4-9504-4CA3-8DE7-9F189380ED2F}"/>
    <hyperlink ref="J122" r:id="rId88" xr:uid="{92400F11-ACD3-49EB-952B-1620E626EE8F}"/>
    <hyperlink ref="J123" r:id="rId89" xr:uid="{328DCC57-12E1-4123-B531-CC1BE20D79AD}"/>
    <hyperlink ref="J124" r:id="rId90" xr:uid="{8669F85D-8726-4334-AA74-87F13E217314}"/>
    <hyperlink ref="J125" r:id="rId91" xr:uid="{A3BA9E00-B42D-467D-9EA1-2E346193A76B}"/>
    <hyperlink ref="J126" r:id="rId92" display="mailto:superprincipaltulua@comfandi.com.co" xr:uid="{381D3E9F-37A9-4CC1-980F-3EF158E46494}"/>
    <hyperlink ref="J127" r:id="rId93" xr:uid="{E3F8FB84-3945-426A-AADB-418BC0BC5F5F}"/>
    <hyperlink ref="J128" r:id="rId94" xr:uid="{320102D2-6B0B-4451-A382-B9B8031F2F45}"/>
    <hyperlink ref="J129" r:id="rId95" xr:uid="{3B1A9479-EB23-49DE-AB7E-CF3D58A933DD}"/>
    <hyperlink ref="J130" r:id="rId96" xr:uid="{5AF40434-DEA4-4F5A-A49F-69D2A009C402}"/>
    <hyperlink ref="J131" r:id="rId97" display="mailto:superbugalagrande@comfandi.com.co" xr:uid="{C76A1AFF-D012-40B7-981F-4B007EF378D6}"/>
    <hyperlink ref="J132" r:id="rId98" xr:uid="{FA1B5F7E-01E9-4DF5-B03D-A232531D1E39}"/>
    <hyperlink ref="J133" r:id="rId99" xr:uid="{798F7E78-FBFF-45F8-BE97-C5CAC1D90242}"/>
    <hyperlink ref="J134" r:id="rId100" xr:uid="{33C7ABAB-B33E-411C-8DD1-F10C993ACABB}"/>
    <hyperlink ref="J135" r:id="rId101" xr:uid="{34725504-859E-4173-AE86-5E1D3B6629E8}"/>
    <hyperlink ref="J145" r:id="rId102" xr:uid="{8A5593D0-AB2F-4460-921A-BF0D6EF1E3E6}"/>
    <hyperlink ref="J146" r:id="rId103" display="margaritagracia@comfandi.com.co" xr:uid="{16D3ABB9-42B8-4B74-B62E-82DAE194D050}"/>
    <hyperlink ref="J147" r:id="rId104" display="mauriciorengifo@comfandi.com.co,recreativosantaana@comfandi.com.co" xr:uid="{C2B9AAC6-8F14-4C32-A155-3BD41A6BEEEC}"/>
    <hyperlink ref="J149" r:id="rId105" xr:uid="{97221480-6D4B-4D2C-BB39-8F1BB6E62655}"/>
    <hyperlink ref="J150" r:id="rId106" xr:uid="{C3381D6F-B96D-48F4-817A-9D06CE16D10C}"/>
    <hyperlink ref="J152" r:id="rId107" xr:uid="{039AFFC9-E534-4222-9131-97EE5D4F9D8D}"/>
    <hyperlink ref="J153" r:id="rId108" xr:uid="{038A656B-EA63-4C12-B107-5A36FFD78654}"/>
    <hyperlink ref="J158" r:id="rId109" xr:uid="{0370A705-DD14-4E54-90CF-C9F8D314BB00}"/>
    <hyperlink ref="J35" r:id="rId110" display="norhabedoya@comfandi.com.co,dianaarboleda@comfandi.com.co" xr:uid="{67A9ED2B-C693-46C2-AE01-199C9A52DB21}"/>
    <hyperlink ref="J7" r:id="rId111" display="directorcolegiobuga@comfandi.com.co, " xr:uid="{DEF0BE81-F217-4C83-B546-D8CF35DF98AE}"/>
    <hyperlink ref="J156" r:id="rId112" display="diripssannicolas@comfandi.com.co,auxtecnovigilancia@comfandi.com.co,luzkarimeramos@comfandi.com.co ,astridsierra@comfandi.com.co" xr:uid="{AAE0389C-A19A-48AB-9537-78E13A3914B9}"/>
    <hyperlink ref="J161" r:id="rId113" xr:uid="{C7D44446-CA8E-49F6-90BF-40F79424650C}"/>
    <hyperlink ref="L134" r:id="rId114" xr:uid="{E4E78BF5-308A-428E-A5C7-EC6FAC27B91D}"/>
    <hyperlink ref="L135" r:id="rId115" xr:uid="{282D42EE-B8CE-497A-99D4-A3078557D836}"/>
    <hyperlink ref="L136" r:id="rId116" xr:uid="{6F0F4701-3DC6-4382-AFFB-D5C9CF163298}"/>
    <hyperlink ref="L137" r:id="rId117" xr:uid="{B1C523E6-A60E-466D-A60E-305787733D0D}"/>
    <hyperlink ref="L60" r:id="rId118" xr:uid="{075CBCB7-C3FF-4DFF-927F-C678BC6C5637}"/>
    <hyperlink ref="J155" r:id="rId119" display="alejandragiraldo@comfandi.com.co,almacenipsmorichal@comfandi.com.co " xr:uid="{68A7A2B1-479D-4D46-B016-3238E78F405C}"/>
    <hyperlink ref="J136" r:id="rId120" xr:uid="{835E1DEE-9738-46DD-A36F-B519492636C4}"/>
    <hyperlink ref="J17" r:id="rId121" display="mariaangelicaparra@comfandi.com.co;auxacademicociudadela@comfandi.com.co,dianaarboleda@comfandi.com.co" xr:uid="{601EA14C-33EA-4BAC-8FF3-CF23AFFA5169}"/>
    <hyperlink ref="J162" r:id="rId122" xr:uid="{A306945B-FE3E-4473-8B8D-8DE0855BD382}"/>
    <hyperlink ref="J148" r:id="rId123" xr:uid="{6CB170C4-3282-41B9-99C0-06D06DC26B68}"/>
    <hyperlink ref="J160" r:id="rId124" display="citassia@comfandi.com.co,mjosefacastro@comfandi.com.co" xr:uid="{043745D6-7555-46B8-8234-D038218B20AB}"/>
    <hyperlink ref="J34" r:id="rId125" display="jhonfredyhincapie@comfandi.com.co,marygonzalez@comfandi.com.co" xr:uid="{075B8046-7336-47C0-823D-E4C03E3BE371}"/>
    <hyperlink ref="J13" r:id="rId126" display="juliancolorado@comfandi.com.co;auxccultural@comfandi.com.co,dianaarboleda@comfandi.com.co" xr:uid="{7D9E2264-D4C4-41D5-AC4E-FA6D910A1154}"/>
    <hyperlink ref="J138" r:id="rId127" display="yilygonzalez@comfandi.com.co ,luzmarinacastro@comfandi.com.co" xr:uid="{632C74FE-F355-4240-A9B8-BB89D2FFC09C}"/>
    <hyperlink ref="J144" r:id="rId128" xr:uid="{027E4F03-6CAE-4AA9-AF1B-D4AB59087DA5}"/>
    <hyperlink ref="H155" r:id="rId129" xr:uid="{FA39BCD9-25E1-45F5-8E59-3845687B6499}"/>
    <hyperlink ref="J163" r:id="rId130" xr:uid="{81EC6B55-866B-4C58-9523-FB42ADB77C3C}"/>
    <hyperlink ref="J164" r:id="rId131" display="mjosefacastro@comfandi.com.co,nancytobar@comfandi.com.co" xr:uid="{6574DE92-B8CB-4346-96E7-654AF32D6CCE}"/>
    <hyperlink ref="J165" r:id="rId132" display="yamilethchacon@comfandi.com.co,sebastianarboleda@comfandi.com.co" xr:uid="{799E5072-5DB9-4B34-87FC-64F460D027DF}"/>
    <hyperlink ref="J8" r:id="rId133" display="libardodiaz@comfandi.com.co,dianaarboleda@comfandi.com.co" xr:uid="{14951D95-6C88-4E1A-BCD7-A3D595E20B28}"/>
    <hyperlink ref="J11" r:id="rId134" display="libardodiaz@comfandi.com.co;karenvalencia@comfandi.com.co,dianaarboleda@comfandi.com.co" xr:uid="{5EEE96D7-7CEA-4B00-83E3-51549E493B8D}"/>
    <hyperlink ref="J10" r:id="rId135" display="libardodiaz@comfandi.com.co;lorenarivas@comfandi.com.co,dianaarboleda@comfandi.com.co" xr:uid="{944EB6B6-2E7A-4EC4-91FB-0A49B4FCA208}"/>
    <hyperlink ref="J12" r:id="rId136" display="libardodiaz@comfandi.com.co,dianaarboleda@comfandi.com.co" xr:uid="{47F94959-1192-407D-953D-2C9AE52C4EE4}"/>
    <hyperlink ref="J14" r:id="rId137" display="cdicerrito@comfandi.com.co;luzdiaz@comfandi.com.co;auxprimerainfancia@comfandi.com.co,dianaarboleda@comfandi.com.co" xr:uid="{373E8DFC-C463-4005-802C-7EF086BC89C8}"/>
    <hyperlink ref="J16" r:id="rId138" display="colegiocalipso@comfandi.com.co,marycuellar@comfandi.com.co,secrecolegiocalipso@comfandi.com.co" xr:uid="{00F808C9-7FBD-40F1-854D-9E221967E32C}"/>
    <hyperlink ref="J167" r:id="rId139" xr:uid="{516777CF-9A59-43EC-A0D0-AFD9A2F5A759}"/>
    <hyperlink ref="J166" r:id="rId140" display="milenavelez@comfandi.com.co;gracielapena@comfandi.com.co;biblioescolarpalmira@comfandi.com.co,dianaarboleda@comfandi.com.co" xr:uid="{CF563E3E-B3CA-4210-BC64-D3F2D4A9ED0E}"/>
    <hyperlink ref="J33" r:id="rId141" display="leidybravo@comfandi.com.co,dianaarboleda@comfandi.com.co" xr:uid="{FE9363DD-0927-4457-B9C1-52E5E4A08D92}"/>
    <hyperlink ref="J169" r:id="rId142" xr:uid="{9B3CFEB1-46F0-4806-B4EE-EF9D88B1239E}"/>
    <hyperlink ref="J171" r:id="rId143" xr:uid="{74A192A6-C848-4829-AB33-768756A9A4B2}"/>
    <hyperlink ref="J170" r:id="rId144" xr:uid="{B4C41797-D61E-4ACF-BFAC-A3CF398AE2AF}"/>
    <hyperlink ref="J174" r:id="rId145" xr:uid="{72F9F188-5601-445E-BE04-232D45BDED4B}"/>
    <hyperlink ref="J175" r:id="rId146" tooltip="mailto:drogueriacalima@comfandi.com.co" display="mailto:drogueriacalima@comfandi.com.co" xr:uid="{24EEE08A-03AE-4F87-88AF-BE38C80DEC56}"/>
    <hyperlink ref="J176" r:id="rId147" xr:uid="{8CC20AC6-C44B-49C7-A73B-227151D1F4AD}"/>
    <hyperlink ref="J177" r:id="rId148" tooltip="mailto:drogueriacosmocentro@comfandi.com.co" display="mailto:drogueriacosmocentro@comfandi.com.co" xr:uid="{7958BC2C-8726-48A3-81B7-735E9BB59C33}"/>
    <hyperlink ref="J179" r:id="rId149" tooltip="mailto:drogueriaunicentro2@comfandi.com.co" display="mailto:drogueriaunicentro2@comfandi.com.co" xr:uid="{14950E51-2D42-41F5-9F63-A400CE842519}"/>
    <hyperlink ref="J168" r:id="rId150" xr:uid="{8FF8BD43-9545-4B20-B970-2E134D1543A8}"/>
    <hyperlink ref="L36" r:id="rId151" xr:uid="{A0474B4D-3ABD-4E6D-81A4-0004ABB59A76}"/>
    <hyperlink ref="L126" r:id="rId152" xr:uid="{FB5231DB-A446-440D-95F1-EF95754B0E81}"/>
    <hyperlink ref="L127" r:id="rId153" xr:uid="{BB72F3B5-F9D7-4BA6-97AB-974723B7BA25}"/>
    <hyperlink ref="L128" r:id="rId154" xr:uid="{033C5FD2-E5DD-46B0-96F5-806D326DBA39}"/>
    <hyperlink ref="L129" r:id="rId155" xr:uid="{3CBE2D1B-13F7-4A04-9473-981448FD3591}"/>
    <hyperlink ref="L130" r:id="rId156" xr:uid="{75876746-6005-474E-AF42-34A8E82E470E}"/>
    <hyperlink ref="L131" r:id="rId157" xr:uid="{20E0E94F-A31B-4D9D-B947-8C4D76EBC25D}"/>
    <hyperlink ref="L132" r:id="rId158" xr:uid="{1910CBEC-445E-4055-9202-DB739A524642}"/>
    <hyperlink ref="J84" r:id="rId159" xr:uid="{7EF78A94-5AF0-4796-A5D4-8F51B3AD67DF}"/>
    <hyperlink ref="J48" r:id="rId160" xr:uid="{164BD594-0EAB-4580-80F7-10F8C5ACD12E}"/>
    <hyperlink ref="J111" r:id="rId161" xr:uid="{5DA63A26-FEFF-493A-AEF6-EC75FFEB7AF7}"/>
    <hyperlink ref="L43" r:id="rId162" xr:uid="{77B219DE-E351-4365-92ED-92A6F55FE44A}"/>
    <hyperlink ref="L56" r:id="rId163" xr:uid="{548C4224-9E31-43B2-BB6F-942ADC25613A}"/>
    <hyperlink ref="L91" r:id="rId164" xr:uid="{5385D193-00AD-4041-BD95-ADE8388769C9}"/>
    <hyperlink ref="L106" r:id="rId165" xr:uid="{EB009999-EF81-4631-BB88-48BAB43C1717}"/>
    <hyperlink ref="L40" r:id="rId166" xr:uid="{B7F647E2-ED39-41D5-87B3-7F08DC4200F5}"/>
    <hyperlink ref="L83" r:id="rId167" xr:uid="{357C6190-6638-4CCB-812F-FB1C5C53D364}"/>
    <hyperlink ref="L109" r:id="rId168" xr:uid="{8E703DC5-D1E4-4E8A-BCE3-E24C423568F3}"/>
    <hyperlink ref="L110" r:id="rId169" xr:uid="{BF597E0A-D38C-47A3-B28F-0BBFCEDB181E}"/>
    <hyperlink ref="L111" r:id="rId170" xr:uid="{9A5B0BEC-F5E5-4920-81FB-903E8CD61647}"/>
    <hyperlink ref="L112" r:id="rId171" xr:uid="{A769D0B8-A6E4-47DF-BC31-7BE805A4AE70}"/>
    <hyperlink ref="L113" r:id="rId172" xr:uid="{E35B5C01-B2C8-4195-A1EC-A032A4D5C8F2}"/>
    <hyperlink ref="L114" r:id="rId173" xr:uid="{DC38AECB-96CE-408A-BCEE-5D54B0ED1899}"/>
    <hyperlink ref="L115" r:id="rId174" xr:uid="{3E244B0B-AC8E-47C4-AAA2-66E6B8BA5EE5}"/>
    <hyperlink ref="L116" r:id="rId175" xr:uid="{03AA7CED-B357-4F9F-95A2-1DC349F6A1B2}"/>
    <hyperlink ref="L117" r:id="rId176" xr:uid="{0F4E3229-2912-4D74-A515-879E45F71B84}"/>
    <hyperlink ref="L118" r:id="rId177" xr:uid="{BA2AFF6B-2A65-4D7A-AC63-74C09ACC9EA4}"/>
    <hyperlink ref="L58" r:id="rId178" xr:uid="{31A6A9FA-1A0C-4319-B052-ACC027175B69}"/>
    <hyperlink ref="J180" r:id="rId179" xr:uid="{42C0628E-18C8-40F1-BFEB-5B8C4BE1EDAF}"/>
    <hyperlink ref="L48" r:id="rId180" xr:uid="{8C9C0ECA-526C-4172-8E02-78D0CE8D3D04}"/>
    <hyperlink ref="L49" r:id="rId181" xr:uid="{72BDEF41-8992-42F9-93F6-2BD1C2358F9B}"/>
    <hyperlink ref="L54" r:id="rId182" xr:uid="{207CF720-1A7A-4F4D-84C4-9D3358762C80}"/>
    <hyperlink ref="L76" r:id="rId183" xr:uid="{65A26D43-D567-44D5-B47A-7F7661213758}"/>
    <hyperlink ref="L124" r:id="rId184" xr:uid="{2B72D913-E8A3-49AC-9657-26E66DD6E80F}"/>
    <hyperlink ref="L37" r:id="rId185" xr:uid="{93A0D2BD-D435-4DC1-90D8-FA04EB98042E}"/>
    <hyperlink ref="L39" r:id="rId186" xr:uid="{C81A6B8A-0607-49AE-B10F-8E88455385BE}"/>
    <hyperlink ref="L41" r:id="rId187" xr:uid="{DCD6C4C8-4A79-4753-A8BB-EA9266D4365D}"/>
    <hyperlink ref="L42" r:id="rId188" display="brayanardila@comfandi.com.co" xr:uid="{473A0B1E-4FB0-486D-8357-85C802C25785}"/>
    <hyperlink ref="L69" r:id="rId189" xr:uid="{32CB306B-1BF6-43E8-905B-425EB3617A54}"/>
    <hyperlink ref="L79" r:id="rId190" xr:uid="{33B6CCF5-1379-4FF4-9229-B50628223642}"/>
    <hyperlink ref="L133" r:id="rId191" xr:uid="{F0ABFC1A-F12B-4951-AEF2-D8610A70DBFB}"/>
    <hyperlink ref="L162" r:id="rId192" xr:uid="{0553DD59-84F3-44A2-9862-4B600086505F}"/>
    <hyperlink ref="L167" r:id="rId193" xr:uid="{7B636F46-9DB5-48E6-B3D6-B20E2759757E}"/>
    <hyperlink ref="L172" r:id="rId194" xr:uid="{E9FB8EF4-CEE2-413E-908F-611C664766A2}"/>
    <hyperlink ref="L180" r:id="rId195" xr:uid="{8FA4C0A0-E67E-4EC7-89C3-7EC5FAE3DBDF}"/>
    <hyperlink ref="J182" r:id="rId196" xr:uid="{3F5D9026-D421-4157-B823-69EE8206E9CD}"/>
    <hyperlink ref="J185" r:id="rId197" xr:uid="{770E46AE-7393-4B31-96C7-DFF8457F84B0}"/>
    <hyperlink ref="J186" r:id="rId198" xr:uid="{B3F827F4-739E-444C-849B-C63939E84185}"/>
    <hyperlink ref="J154" r:id="rId199" xr:uid="{C6CC8ECB-8B8C-47D4-B7F2-39C16650E454}"/>
    <hyperlink ref="L57" r:id="rId200" display="brayanardila@comfandi.com.co" xr:uid="{50C6FD16-0C48-4C0E-9A77-E745837C4564}"/>
    <hyperlink ref="L101" r:id="rId201" display="brayanardila@comfandi.com.co" xr:uid="{99F5A7C5-F843-43E2-A102-84FA994B2FBD}"/>
    <hyperlink ref="L105" r:id="rId202" display="brayanardila@comfandi.com.co" xr:uid="{03975D6E-CD49-4015-BE68-4F0204CDB350}"/>
    <hyperlink ref="L184" r:id="rId203" display="brayanardila@comfandi.com.co" xr:uid="{E0A9CD24-682A-4A55-942B-6634144ADEB0}"/>
    <hyperlink ref="L44" r:id="rId204" display="brayanardila@comfandi.com.co" xr:uid="{E73B9618-F365-40F5-A0A9-748D7082BE7F}"/>
    <hyperlink ref="L46" r:id="rId205" display="brayanardila@comfandi.com.co" xr:uid="{80D2DEA6-1F52-42AE-90A7-DB5AA0FEF8C9}"/>
    <hyperlink ref="L47" r:id="rId206" display="brayanardila@comfandi.com.co" xr:uid="{14E654D1-72C1-4755-8D23-35DA2FC60E2A}"/>
    <hyperlink ref="L50" r:id="rId207" display="brayanardila@comfandi.com.co" xr:uid="{A7E156F8-9949-49E5-A893-79A4CCEC4131}"/>
    <hyperlink ref="L52" r:id="rId208" display="brayanardila@comfandi.com.co" xr:uid="{F9C65C78-10EE-49C3-B4CF-274C34292E86}"/>
    <hyperlink ref="L53" r:id="rId209" display="brayanardila@comfandi.com.co" xr:uid="{D3F90DD6-33EB-47A3-83C4-1D0824FB0052}"/>
    <hyperlink ref="L55" r:id="rId210" display="brayanardila@comfandi.com.co" xr:uid="{FA936298-CC2B-446F-85CC-8B57A8604B31}"/>
    <hyperlink ref="L59" r:id="rId211" display="brayanardila@comfandi.com.co" xr:uid="{07EED813-828A-4BEE-A75E-D658BF310540}"/>
    <hyperlink ref="L61" r:id="rId212" display="brayanardila@comfandi.com.co" xr:uid="{7506C504-81E8-4A7B-B9A4-AFAB177EA6C5}"/>
    <hyperlink ref="L62" r:id="rId213" display="brayanardila@comfandi.com.co" xr:uid="{8B4142D0-84CF-46CD-B60C-BA0F58F3D6D3}"/>
    <hyperlink ref="L63" r:id="rId214" display="brayanardila@comfandi.com.co" xr:uid="{79EC3E2B-D5F9-40D4-A6F6-793B6F658E54}"/>
    <hyperlink ref="L64" r:id="rId215" display="brayanardila@comfandi.com.co" xr:uid="{3FA72834-9632-46BD-BB35-62FAD55326CE}"/>
    <hyperlink ref="L65" r:id="rId216" display="brayanardila@comfandi.com.co" xr:uid="{E247F6F7-8971-4AAA-88A3-05EBEC8E3B94}"/>
    <hyperlink ref="L66" r:id="rId217" display="brayanardila@comfandi.com.co" xr:uid="{C01B6FD2-3F19-4647-89F0-0588F36C4CA6}"/>
    <hyperlink ref="L67" r:id="rId218" display="brayanardila@comfandi.com.co" xr:uid="{D09B51B2-FBE5-4D60-82C7-042E2846B938}"/>
    <hyperlink ref="L68" r:id="rId219" display="brayanardila@comfandi.com.co" xr:uid="{3AB01FE0-1048-4BB0-933E-CDA8DCBFCDBD}"/>
    <hyperlink ref="L70" r:id="rId220" display="brayanardila@comfandi.com.co" xr:uid="{E1D05DE1-D2E3-4AD6-AF48-67BD0BC95FE4}"/>
    <hyperlink ref="L72" r:id="rId221" display="brayanardila@comfandi.com.co" xr:uid="{BB90FB0B-CD70-46E2-9C7B-49B2F9FBDB1F}"/>
    <hyperlink ref="L73" r:id="rId222" display="brayanardila@comfandi.com.co" xr:uid="{5BC88426-D192-4949-96CA-8FBC90134FD4}"/>
    <hyperlink ref="L74" r:id="rId223" display="brayanardila@comfandi.com.co" xr:uid="{443B5854-6F4F-436F-86F7-ACCE2C02EE1F}"/>
    <hyperlink ref="L75" r:id="rId224" display="brayanardila@comfandi.com.co" xr:uid="{8E656E4E-08FE-475B-A7AF-B0F5A42F92FA}"/>
    <hyperlink ref="L77" r:id="rId225" display="brayanardila@comfandi.com.co" xr:uid="{A04A45A1-F51E-402F-BF4D-A99E633D8080}"/>
    <hyperlink ref="L78" r:id="rId226" display="brayanardila@comfandi.com.co" xr:uid="{CD97CFAC-B401-4BE5-85A8-46586946D6C2}"/>
    <hyperlink ref="L80" r:id="rId227" display="brayanardila@comfandi.com.co" xr:uid="{531A121F-E2FF-4FAC-8229-DD11D35FF6F6}"/>
    <hyperlink ref="L81" r:id="rId228" display="brayanardila@comfandi.com.co" xr:uid="{7D9DA811-89B6-4304-BB28-2569FFDE483C}"/>
    <hyperlink ref="L82" r:id="rId229" display="brayanardila@comfandi.com.co" xr:uid="{87F34015-A869-4E0D-9D12-D2E61E2AA048}"/>
    <hyperlink ref="L84" r:id="rId230" display="brayanardila@comfandi.com.co" xr:uid="{9DC1D9F1-6077-417D-823F-B9C9EFB38FC0}"/>
    <hyperlink ref="L85" r:id="rId231" display="brayanardila@comfandi.com.co" xr:uid="{05433E06-B115-491F-91B5-7D26FE0C1F37}"/>
    <hyperlink ref="L86" r:id="rId232" display="brayanardila@comfandi.com.co" xr:uid="{7269CB39-0559-49DE-BEF5-EF45004FEF3A}"/>
    <hyperlink ref="L87" r:id="rId233" display="brayanardila@comfandi.com.co" xr:uid="{36B27459-BB4E-4921-8A4F-DB162D7682B1}"/>
    <hyperlink ref="L88" r:id="rId234" display="brayanardila@comfandi.com.co" xr:uid="{A7B77124-FA77-42E2-A10A-324DF6E76DFE}"/>
    <hyperlink ref="L89" r:id="rId235" display="brayanardila@comfandi.com.co" xr:uid="{6F0E7952-EF6B-4734-8BE1-2D7036129C6B}"/>
    <hyperlink ref="L90" r:id="rId236" display="brayanardila@comfandi.com.co" xr:uid="{70999A3A-DD81-4A7A-805D-DA1BFF7C5A2A}"/>
    <hyperlink ref="L92" r:id="rId237" display="brayanardila@comfandi.com.co" xr:uid="{9391D91A-1A00-4184-9017-75C0150D4D33}"/>
    <hyperlink ref="L93" r:id="rId238" display="brayanardila@comfandi.com.co" xr:uid="{BC3E0F0D-DEA8-4C52-A7CC-7D154A113031}"/>
    <hyperlink ref="L94" r:id="rId239" display="brayanardila@comfandi.com.co" xr:uid="{B06B4B83-6068-43E8-9D46-B5717565A59A}"/>
    <hyperlink ref="L95" r:id="rId240" display="brayanardila@comfandi.com.co" xr:uid="{4E77C6A0-53CB-4047-B132-B79962992F7E}"/>
    <hyperlink ref="L96" r:id="rId241" display="brayanardila@comfandi.com.co" xr:uid="{B1323609-816F-442E-ABED-547F8C416D25}"/>
    <hyperlink ref="L97" r:id="rId242" display="brayanardila@comfandi.com.co" xr:uid="{27828002-95FC-45AF-8D3F-62DD40E18547}"/>
    <hyperlink ref="L98" r:id="rId243" display="brayanardila@comfandi.com.co" xr:uid="{F8B738E5-85D1-4E1D-A806-18AC5A5FFC02}"/>
    <hyperlink ref="L99" r:id="rId244" display="brayanardila@comfandi.com.co" xr:uid="{794A8D41-B84E-4B9A-86C5-BEA87FE0ADC2}"/>
    <hyperlink ref="L100" r:id="rId245" display="brayanardila@comfandi.com.co" xr:uid="{29542FA1-1B4C-41C4-A624-71788DFB2CE2}"/>
    <hyperlink ref="L102" r:id="rId246" display="brayanardila@comfandi.com.co" xr:uid="{1C6EE0C6-4AA0-42E6-9704-7E03264F95BA}"/>
    <hyperlink ref="L103" r:id="rId247" display="brayanardila@comfandi.com.co" xr:uid="{0191D090-AC37-4A04-ACD1-E1F0F923D915}"/>
    <hyperlink ref="L104" r:id="rId248" display="brayanardila@comfandi.com.co" xr:uid="{2C6A69E7-6FD2-407B-9ACE-FACB9AFDFC62}"/>
    <hyperlink ref="L107" r:id="rId249" display="brayanardila@comfandi.com.co" xr:uid="{CE1C2659-C241-4903-9227-6AC3774522BF}"/>
    <hyperlink ref="L108" r:id="rId250" display="brayanardila@comfandi.com.co" xr:uid="{7FDF303F-CD06-4B2F-A659-4F9CD8492A66}"/>
    <hyperlink ref="L168" r:id="rId251" display="brayanardila@comfandi.com.co" xr:uid="{DAFD0368-D546-4B37-8E92-D03CFC14B587}"/>
    <hyperlink ref="L169" r:id="rId252" display="brayanardila@comfandi.com.co" xr:uid="{2A8FFE44-7B39-445A-8C39-A8A0D270E32C}"/>
    <hyperlink ref="L170" r:id="rId253" display="brayanardila@comfandi.com.co" xr:uid="{2A056C45-307D-4C47-9633-14A0AD931A61}"/>
    <hyperlink ref="L171" r:id="rId254" display="brayanardila@comfandi.com.co" xr:uid="{497A5A94-6B81-4D3D-9875-B848A08684EB}"/>
    <hyperlink ref="L173" r:id="rId255" display="brayanardila@comfandi.com.co" xr:uid="{EA501049-623D-44DB-96EC-FFC5C269F89F}"/>
    <hyperlink ref="L174" r:id="rId256" display="brayanardila@comfandi.com.co" xr:uid="{D2E2E698-F4A2-4F55-AFCA-DF32E51B2B1B}"/>
    <hyperlink ref="L175" r:id="rId257" display="brayanardila@comfandi.com.co" xr:uid="{0B08D7FB-723B-48FE-9C73-CCC66A529B2A}"/>
    <hyperlink ref="L176" r:id="rId258" display="brayanardila@comfandi.com.co" xr:uid="{C0F71988-5867-486E-907E-AC8618F37497}"/>
    <hyperlink ref="L177" r:id="rId259" display="brayanardila@comfandi.com.co" xr:uid="{AF5D7AAF-93E5-47B5-BB72-D7CF81285289}"/>
    <hyperlink ref="L178" r:id="rId260" display="brayanardila@comfandi.com.co" xr:uid="{400B7542-E620-45CF-AFEB-0C8C162DD63C}"/>
    <hyperlink ref="L179" r:id="rId261" display="brayanardila@comfandi.com.co" xr:uid="{AAC244DA-3BF4-4AB8-B23D-6109E6515D6F}"/>
    <hyperlink ref="L181" r:id="rId262" display="brayanardila@comfandi.com.co" xr:uid="{82F8763E-ECEC-4AFF-886F-B75D375DEB5B}"/>
    <hyperlink ref="L149" r:id="rId263" xr:uid="{E3CD8EFA-91C2-44EB-8D87-7FC609F17C76}"/>
    <hyperlink ref="L150" r:id="rId264" xr:uid="{9C79044F-1A93-487F-97E1-F10AD8F9C038}"/>
    <hyperlink ref="L151" r:id="rId265" xr:uid="{53D53AB4-560A-450A-A8F2-5015559624A3}"/>
    <hyperlink ref="L152" r:id="rId266" xr:uid="{FA585B45-8C54-4659-8218-95312EB16CD3}"/>
    <hyperlink ref="L153" r:id="rId267" xr:uid="{29BE6F0E-E6BE-4629-8DE5-CFEEC2B47D0C}"/>
    <hyperlink ref="L155" r:id="rId268" xr:uid="{88363E35-2EA0-464C-AFB9-94A72AAC3BEE}"/>
    <hyperlink ref="L156" r:id="rId269" xr:uid="{FD4EAB47-2DCE-44D4-8C6A-CD7DDFD83B83}"/>
    <hyperlink ref="L157" r:id="rId270" xr:uid="{9B9D13E9-B81F-47FD-8223-831969830925}"/>
    <hyperlink ref="L158" r:id="rId271" xr:uid="{56D95CA4-866A-42CF-8276-03E78F97C0AE}"/>
    <hyperlink ref="L159" r:id="rId272" xr:uid="{386A35E2-7EC6-44A3-AD86-C64CFA63B411}"/>
    <hyperlink ref="L160" r:id="rId273" xr:uid="{103D77CC-9F6F-4428-B457-46CA6FB50E4E}"/>
    <hyperlink ref="L161" r:id="rId274" xr:uid="{BA62AAA3-4E2B-4B70-87A3-08B5552C1FF4}"/>
    <hyperlink ref="L164" r:id="rId275" xr:uid="{889E1364-5348-401B-885A-1A02753B0B24}"/>
    <hyperlink ref="L138" r:id="rId276" display="jairoarboleda@comfandi.com.co" xr:uid="{E71830AA-83E4-4EF3-9E34-26D02514AC68}"/>
    <hyperlink ref="L139" r:id="rId277" display="jairoarboleda@comfandi.com.co" xr:uid="{5557AB7A-3D35-41CC-8098-754237355A51}"/>
    <hyperlink ref="L140" r:id="rId278" display="jairoarboleda@comfandi.com.co" xr:uid="{97DE98EC-9544-41B4-B0A2-CF6796FF5BE5}"/>
    <hyperlink ref="L141" r:id="rId279" display="jairoarboleda@comfandi.com.co" xr:uid="{2F05213E-E4C7-49D2-8861-A4C032AF9340}"/>
    <hyperlink ref="L142" r:id="rId280" display="jairoarboleda@comfandi.com.co" xr:uid="{AEA5CBB3-8F85-48ED-89F9-0BB65E8B1200}"/>
    <hyperlink ref="L143" r:id="rId281" display="jairoarboleda@comfandi.com.co" xr:uid="{8727D951-B289-4F0C-A683-21C844E50A03}"/>
    <hyperlink ref="L144" r:id="rId282" display="jairoarboleda@comfandi.com.co" xr:uid="{5218D1A7-A107-4E74-B06A-C1614B1974AD}"/>
    <hyperlink ref="L145" r:id="rId283" display="jairoarboleda@comfandi.com.co" xr:uid="{8FF06808-85BF-441E-BD65-803B8FEBC540}"/>
    <hyperlink ref="L146" r:id="rId284" display="jairoarboleda@comfandi.com.co" xr:uid="{74218842-CF56-4755-ACEC-42B91717AA82}"/>
    <hyperlink ref="L147" r:id="rId285" display="jairoarboleda@comfandi.com.co" xr:uid="{500FF81D-6385-48D7-90A0-71AFD7AC08E0}"/>
    <hyperlink ref="L7" r:id="rId286" xr:uid="{7BCA6D0D-2B31-4CEF-A6D7-2459F53F9141}"/>
    <hyperlink ref="L8" r:id="rId287" xr:uid="{AF95A6A1-C46C-471F-9BAB-C6CA3061F9CA}"/>
    <hyperlink ref="L9" r:id="rId288" xr:uid="{AD96B2DD-663F-44B4-9816-CE8A38D08779}"/>
    <hyperlink ref="L10" r:id="rId289" xr:uid="{699CA2D0-933E-429F-810A-61EF0C268343}"/>
    <hyperlink ref="L11" r:id="rId290" xr:uid="{8CDC3B32-97E0-487E-B859-20423EFE805B}"/>
    <hyperlink ref="L12" r:id="rId291" xr:uid="{119FE149-9534-4C49-AD16-D27A1D025251}"/>
    <hyperlink ref="L13" r:id="rId292" xr:uid="{2C8290F2-AF6A-4C58-ACE5-01DCAFD29303}"/>
    <hyperlink ref="L14" r:id="rId293" xr:uid="{55B07A3E-126F-4928-A3B7-4A9224A37CF0}"/>
    <hyperlink ref="L15" r:id="rId294" xr:uid="{8EDE41C4-D99D-4D4C-BD80-BDBAB516E5A7}"/>
    <hyperlink ref="L16" r:id="rId295" xr:uid="{07C3B79D-B062-4381-8A11-BE64A87BDEBB}"/>
    <hyperlink ref="L17" r:id="rId296" xr:uid="{92EFC832-9126-4EE8-A451-17F568BE0CA8}"/>
    <hyperlink ref="L18" r:id="rId297" xr:uid="{1EEF67DB-7105-4EA8-B7C6-2644DA27F1EA}"/>
    <hyperlink ref="L20" r:id="rId298" xr:uid="{F31F0920-A337-4133-9BB5-BD207CCD9E06}"/>
    <hyperlink ref="L21" r:id="rId299" xr:uid="{A3B6EF27-22AD-483B-8075-D2E1AC742A97}"/>
    <hyperlink ref="L22" r:id="rId300" xr:uid="{F5F1B492-7E59-4C4B-9993-2BB5EC0BF21C}"/>
    <hyperlink ref="L23" r:id="rId301" xr:uid="{7B67FCCC-7B4D-451F-A946-09C73EF479BA}"/>
    <hyperlink ref="L24" r:id="rId302" xr:uid="{55910C49-EE3C-4FDE-80F3-B2F3F76189CF}"/>
    <hyperlink ref="L25" r:id="rId303" xr:uid="{6D58C2A5-76D7-4696-BD7A-B0BDBF10823B}"/>
    <hyperlink ref="L26" r:id="rId304" xr:uid="{1192A084-0340-44F1-A6D3-90D5BE2A38B2}"/>
    <hyperlink ref="L27" r:id="rId305" xr:uid="{9D49F2FC-F25E-4C28-A73A-C877DA6E966A}"/>
    <hyperlink ref="L28" r:id="rId306" xr:uid="{41F5B596-89EC-4C70-A064-30D1972F9C03}"/>
    <hyperlink ref="L29" r:id="rId307" xr:uid="{CC3AA983-5CC2-4DEC-AD2D-F1ECA9D7592B}"/>
    <hyperlink ref="L30" r:id="rId308" xr:uid="{DB982759-93F3-4DE3-A952-27856D5A0B13}"/>
    <hyperlink ref="L31" r:id="rId309" xr:uid="{4CD4F02D-9190-4689-A067-789DDA3A0248}"/>
    <hyperlink ref="L32" r:id="rId310" xr:uid="{DC683BE2-3FCD-45F1-8E3C-71E6B802E0B1}"/>
    <hyperlink ref="L33" r:id="rId311" xr:uid="{9C6E4752-6953-42EA-A876-F6A8A7943E9B}"/>
    <hyperlink ref="L34" r:id="rId312" xr:uid="{80AEBA2E-1CDE-4880-A05B-B1E9299B5C42}"/>
    <hyperlink ref="L35" r:id="rId313" xr:uid="{12EDA99F-43B4-49F3-A8CF-EA6EDF413872}"/>
    <hyperlink ref="L166" r:id="rId314" xr:uid="{6CFF882E-7340-4E61-8E39-7BE6899DCFFE}"/>
    <hyperlink ref="J19" r:id="rId315" display="maritzamedina@comfandi.com.co,dianaarboleda@comfandi.com.co" xr:uid="{577AE45E-B97C-4AD8-8C9E-053FF053E629}"/>
    <hyperlink ref="J21" r:id="rId316" display="colegiomiraflores@comfandi.com.co,dianaarboleda@comfandi.com.co" xr:uid="{F02A8D0D-E6E3-4814-BB3A-D1193A620E31}"/>
    <hyperlink ref="J22" r:id="rId317" display="carloscaballero@comfandi.com.co,dianaarboleda@comfandi.com.co" xr:uid="{05C9BD48-82CC-417B-98D5-B3AE081CBCE9}"/>
    <hyperlink ref="J24" r:id="rId318" display="coordinadorcolegiopradosoriente@comfandi.com.co,dianaarboleda@comfandi.com.co" xr:uid="{59CEB6F0-E07F-49E4-9CE2-206643E0AC5F}"/>
    <hyperlink ref="J26" r:id="rId319" display="directorcolegioterranova@comfandi.com.co,dianaarboleda@comfandi.com.co" xr:uid="{0B8B5CCE-615D-4BD2-912B-C7270380DEDE}"/>
    <hyperlink ref="J28" r:id="rId320" display="norhabedoya@comfandi.com.co,dianaarboleda@comfandi.com.co" xr:uid="{4D5A3386-281A-4A60-8A64-2D0E4BC4C16C}"/>
    <hyperlink ref="J29" r:id="rId321" display="claudiagrueso@comfandi.com.co,dianaarboleda@comfandi.com.co" xr:uid="{4768B005-0773-43B3-B91A-9ABFF96666AB}"/>
    <hyperlink ref="J32" r:id="rId322" display="juancarlosvalenciah@gmail.com,dianaarboleda@comfandi.com.co" xr:uid="{7812C13A-1FDD-4340-B7BB-8AE1AF6B6D2F}"/>
    <hyperlink ref="L3" r:id="rId323" xr:uid="{7DADE3DE-EB30-4F1F-90B2-68DCD1982679}"/>
    <hyperlink ref="L5" r:id="rId324" xr:uid="{C30214B7-C476-4C09-BC1E-6B01DA5DC612}"/>
    <hyperlink ref="L6" r:id="rId325" xr:uid="{58945874-BC0A-420D-9C81-778D78DA99EE}"/>
    <hyperlink ref="L2" r:id="rId326" xr:uid="{7B66D62F-16B6-4D1E-A77B-5022A0F47715}"/>
    <hyperlink ref="L19" r:id="rId327" xr:uid="{6F2CB98B-2244-4B41-9856-6A3A2DFCCBE9}"/>
    <hyperlink ref="L154" r:id="rId328" xr:uid="{F53AD589-716F-49C1-AF04-8099BDA26B73}"/>
  </hyperlinks>
  <pageMargins left="0.7" right="0.7" top="0.75" bottom="0.75" header="0.3" footer="0.3"/>
  <pageSetup orientation="portrait" verticalDpi="599" r:id="rId329"/>
  <tableParts count="1">
    <tablePart r:id="rId33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7E51-AC08-47EC-9ED5-A2220A9B3860}">
  <sheetPr codeName="Hoja11"/>
  <dimension ref="A1:F49"/>
  <sheetViews>
    <sheetView showGridLines="0" topLeftCell="A29" zoomScale="138" zoomScaleNormal="85" workbookViewId="0">
      <selection activeCell="D60" sqref="D60"/>
    </sheetView>
  </sheetViews>
  <sheetFormatPr defaultColWidth="11.42578125" defaultRowHeight="13.9"/>
  <cols>
    <col min="1" max="1" width="13.5703125" style="120" customWidth="1"/>
    <col min="2" max="2" width="28.28515625" style="120" customWidth="1"/>
    <col min="3" max="3" width="56.140625" style="120" customWidth="1"/>
    <col min="4" max="4" width="12.42578125" style="120" customWidth="1"/>
    <col min="5" max="5" width="16.42578125" style="120" customWidth="1"/>
    <col min="6" max="6" width="52.7109375" style="120" customWidth="1"/>
    <col min="7" max="257" width="11.42578125" style="120"/>
    <col min="258" max="258" width="35.85546875" style="120" customWidth="1"/>
    <col min="259" max="259" width="33.7109375" style="120" customWidth="1"/>
    <col min="260" max="260" width="24.85546875" style="120" customWidth="1"/>
    <col min="261" max="513" width="11.42578125" style="120"/>
    <col min="514" max="514" width="35.85546875" style="120" customWidth="1"/>
    <col min="515" max="515" width="33.7109375" style="120" customWidth="1"/>
    <col min="516" max="516" width="24.85546875" style="120" customWidth="1"/>
    <col min="517" max="769" width="11.42578125" style="120"/>
    <col min="770" max="770" width="35.85546875" style="120" customWidth="1"/>
    <col min="771" max="771" width="33.7109375" style="120" customWidth="1"/>
    <col min="772" max="772" width="24.85546875" style="120" customWidth="1"/>
    <col min="773" max="1025" width="11.42578125" style="120"/>
    <col min="1026" max="1026" width="35.85546875" style="120" customWidth="1"/>
    <col min="1027" max="1027" width="33.7109375" style="120" customWidth="1"/>
    <col min="1028" max="1028" width="24.85546875" style="120" customWidth="1"/>
    <col min="1029" max="1281" width="11.42578125" style="120"/>
    <col min="1282" max="1282" width="35.85546875" style="120" customWidth="1"/>
    <col min="1283" max="1283" width="33.7109375" style="120" customWidth="1"/>
    <col min="1284" max="1284" width="24.85546875" style="120" customWidth="1"/>
    <col min="1285" max="1537" width="11.42578125" style="120"/>
    <col min="1538" max="1538" width="35.85546875" style="120" customWidth="1"/>
    <col min="1539" max="1539" width="33.7109375" style="120" customWidth="1"/>
    <col min="1540" max="1540" width="24.85546875" style="120" customWidth="1"/>
    <col min="1541" max="1793" width="11.42578125" style="120"/>
    <col min="1794" max="1794" width="35.85546875" style="120" customWidth="1"/>
    <col min="1795" max="1795" width="33.7109375" style="120" customWidth="1"/>
    <col min="1796" max="1796" width="24.85546875" style="120" customWidth="1"/>
    <col min="1797" max="2049" width="11.42578125" style="120"/>
    <col min="2050" max="2050" width="35.85546875" style="120" customWidth="1"/>
    <col min="2051" max="2051" width="33.7109375" style="120" customWidth="1"/>
    <col min="2052" max="2052" width="24.85546875" style="120" customWidth="1"/>
    <col min="2053" max="2305" width="11.42578125" style="120"/>
    <col min="2306" max="2306" width="35.85546875" style="120" customWidth="1"/>
    <col min="2307" max="2307" width="33.7109375" style="120" customWidth="1"/>
    <col min="2308" max="2308" width="24.85546875" style="120" customWidth="1"/>
    <col min="2309" max="2561" width="11.42578125" style="120"/>
    <col min="2562" max="2562" width="35.85546875" style="120" customWidth="1"/>
    <col min="2563" max="2563" width="33.7109375" style="120" customWidth="1"/>
    <col min="2564" max="2564" width="24.85546875" style="120" customWidth="1"/>
    <col min="2565" max="2817" width="11.42578125" style="120"/>
    <col min="2818" max="2818" width="35.85546875" style="120" customWidth="1"/>
    <col min="2819" max="2819" width="33.7109375" style="120" customWidth="1"/>
    <col min="2820" max="2820" width="24.85546875" style="120" customWidth="1"/>
    <col min="2821" max="3073" width="11.42578125" style="120"/>
    <col min="3074" max="3074" width="35.85546875" style="120" customWidth="1"/>
    <col min="3075" max="3075" width="33.7109375" style="120" customWidth="1"/>
    <col min="3076" max="3076" width="24.85546875" style="120" customWidth="1"/>
    <col min="3077" max="3329" width="11.42578125" style="120"/>
    <col min="3330" max="3330" width="35.85546875" style="120" customWidth="1"/>
    <col min="3331" max="3331" width="33.7109375" style="120" customWidth="1"/>
    <col min="3332" max="3332" width="24.85546875" style="120" customWidth="1"/>
    <col min="3333" max="3585" width="11.42578125" style="120"/>
    <col min="3586" max="3586" width="35.85546875" style="120" customWidth="1"/>
    <col min="3587" max="3587" width="33.7109375" style="120" customWidth="1"/>
    <col min="3588" max="3588" width="24.85546875" style="120" customWidth="1"/>
    <col min="3589" max="3841" width="11.42578125" style="120"/>
    <col min="3842" max="3842" width="35.85546875" style="120" customWidth="1"/>
    <col min="3843" max="3843" width="33.7109375" style="120" customWidth="1"/>
    <col min="3844" max="3844" width="24.85546875" style="120" customWidth="1"/>
    <col min="3845" max="4097" width="11.42578125" style="120"/>
    <col min="4098" max="4098" width="35.85546875" style="120" customWidth="1"/>
    <col min="4099" max="4099" width="33.7109375" style="120" customWidth="1"/>
    <col min="4100" max="4100" width="24.85546875" style="120" customWidth="1"/>
    <col min="4101" max="4353" width="11.42578125" style="120"/>
    <col min="4354" max="4354" width="35.85546875" style="120" customWidth="1"/>
    <col min="4355" max="4355" width="33.7109375" style="120" customWidth="1"/>
    <col min="4356" max="4356" width="24.85546875" style="120" customWidth="1"/>
    <col min="4357" max="4609" width="11.42578125" style="120"/>
    <col min="4610" max="4610" width="35.85546875" style="120" customWidth="1"/>
    <col min="4611" max="4611" width="33.7109375" style="120" customWidth="1"/>
    <col min="4612" max="4612" width="24.85546875" style="120" customWidth="1"/>
    <col min="4613" max="4865" width="11.42578125" style="120"/>
    <col min="4866" max="4866" width="35.85546875" style="120" customWidth="1"/>
    <col min="4867" max="4867" width="33.7109375" style="120" customWidth="1"/>
    <col min="4868" max="4868" width="24.85546875" style="120" customWidth="1"/>
    <col min="4869" max="5121" width="11.42578125" style="120"/>
    <col min="5122" max="5122" width="35.85546875" style="120" customWidth="1"/>
    <col min="5123" max="5123" width="33.7109375" style="120" customWidth="1"/>
    <col min="5124" max="5124" width="24.85546875" style="120" customWidth="1"/>
    <col min="5125" max="5377" width="11.42578125" style="120"/>
    <col min="5378" max="5378" width="35.85546875" style="120" customWidth="1"/>
    <col min="5379" max="5379" width="33.7109375" style="120" customWidth="1"/>
    <col min="5380" max="5380" width="24.85546875" style="120" customWidth="1"/>
    <col min="5381" max="5633" width="11.42578125" style="120"/>
    <col min="5634" max="5634" width="35.85546875" style="120" customWidth="1"/>
    <col min="5635" max="5635" width="33.7109375" style="120" customWidth="1"/>
    <col min="5636" max="5636" width="24.85546875" style="120" customWidth="1"/>
    <col min="5637" max="5889" width="11.42578125" style="120"/>
    <col min="5890" max="5890" width="35.85546875" style="120" customWidth="1"/>
    <col min="5891" max="5891" width="33.7109375" style="120" customWidth="1"/>
    <col min="5892" max="5892" width="24.85546875" style="120" customWidth="1"/>
    <col min="5893" max="6145" width="11.42578125" style="120"/>
    <col min="6146" max="6146" width="35.85546875" style="120" customWidth="1"/>
    <col min="6147" max="6147" width="33.7109375" style="120" customWidth="1"/>
    <col min="6148" max="6148" width="24.85546875" style="120" customWidth="1"/>
    <col min="6149" max="6401" width="11.42578125" style="120"/>
    <col min="6402" max="6402" width="35.85546875" style="120" customWidth="1"/>
    <col min="6403" max="6403" width="33.7109375" style="120" customWidth="1"/>
    <col min="6404" max="6404" width="24.85546875" style="120" customWidth="1"/>
    <col min="6405" max="6657" width="11.42578125" style="120"/>
    <col min="6658" max="6658" width="35.85546875" style="120" customWidth="1"/>
    <col min="6659" max="6659" width="33.7109375" style="120" customWidth="1"/>
    <col min="6660" max="6660" width="24.85546875" style="120" customWidth="1"/>
    <col min="6661" max="6913" width="11.42578125" style="120"/>
    <col min="6914" max="6914" width="35.85546875" style="120" customWidth="1"/>
    <col min="6915" max="6915" width="33.7109375" style="120" customWidth="1"/>
    <col min="6916" max="6916" width="24.85546875" style="120" customWidth="1"/>
    <col min="6917" max="7169" width="11.42578125" style="120"/>
    <col min="7170" max="7170" width="35.85546875" style="120" customWidth="1"/>
    <col min="7171" max="7171" width="33.7109375" style="120" customWidth="1"/>
    <col min="7172" max="7172" width="24.85546875" style="120" customWidth="1"/>
    <col min="7173" max="7425" width="11.42578125" style="120"/>
    <col min="7426" max="7426" width="35.85546875" style="120" customWidth="1"/>
    <col min="7427" max="7427" width="33.7109375" style="120" customWidth="1"/>
    <col min="7428" max="7428" width="24.85546875" style="120" customWidth="1"/>
    <col min="7429" max="7681" width="11.42578125" style="120"/>
    <col min="7682" max="7682" width="35.85546875" style="120" customWidth="1"/>
    <col min="7683" max="7683" width="33.7109375" style="120" customWidth="1"/>
    <col min="7684" max="7684" width="24.85546875" style="120" customWidth="1"/>
    <col min="7685" max="7937" width="11.42578125" style="120"/>
    <col min="7938" max="7938" width="35.85546875" style="120" customWidth="1"/>
    <col min="7939" max="7939" width="33.7109375" style="120" customWidth="1"/>
    <col min="7940" max="7940" width="24.85546875" style="120" customWidth="1"/>
    <col min="7941" max="8193" width="11.42578125" style="120"/>
    <col min="8194" max="8194" width="35.85546875" style="120" customWidth="1"/>
    <col min="8195" max="8195" width="33.7109375" style="120" customWidth="1"/>
    <col min="8196" max="8196" width="24.85546875" style="120" customWidth="1"/>
    <col min="8197" max="8449" width="11.42578125" style="120"/>
    <col min="8450" max="8450" width="35.85546875" style="120" customWidth="1"/>
    <col min="8451" max="8451" width="33.7109375" style="120" customWidth="1"/>
    <col min="8452" max="8452" width="24.85546875" style="120" customWidth="1"/>
    <col min="8453" max="8705" width="11.42578125" style="120"/>
    <col min="8706" max="8706" width="35.85546875" style="120" customWidth="1"/>
    <col min="8707" max="8707" width="33.7109375" style="120" customWidth="1"/>
    <col min="8708" max="8708" width="24.85546875" style="120" customWidth="1"/>
    <col min="8709" max="8961" width="11.42578125" style="120"/>
    <col min="8962" max="8962" width="35.85546875" style="120" customWidth="1"/>
    <col min="8963" max="8963" width="33.7109375" style="120" customWidth="1"/>
    <col min="8964" max="8964" width="24.85546875" style="120" customWidth="1"/>
    <col min="8965" max="9217" width="11.42578125" style="120"/>
    <col min="9218" max="9218" width="35.85546875" style="120" customWidth="1"/>
    <col min="9219" max="9219" width="33.7109375" style="120" customWidth="1"/>
    <col min="9220" max="9220" width="24.85546875" style="120" customWidth="1"/>
    <col min="9221" max="9473" width="11.42578125" style="120"/>
    <col min="9474" max="9474" width="35.85546875" style="120" customWidth="1"/>
    <col min="9475" max="9475" width="33.7109375" style="120" customWidth="1"/>
    <col min="9476" max="9476" width="24.85546875" style="120" customWidth="1"/>
    <col min="9477" max="9729" width="11.42578125" style="120"/>
    <col min="9730" max="9730" width="35.85546875" style="120" customWidth="1"/>
    <col min="9731" max="9731" width="33.7109375" style="120" customWidth="1"/>
    <col min="9732" max="9732" width="24.85546875" style="120" customWidth="1"/>
    <col min="9733" max="9985" width="11.42578125" style="120"/>
    <col min="9986" max="9986" width="35.85546875" style="120" customWidth="1"/>
    <col min="9987" max="9987" width="33.7109375" style="120" customWidth="1"/>
    <col min="9988" max="9988" width="24.85546875" style="120" customWidth="1"/>
    <col min="9989" max="10241" width="11.42578125" style="120"/>
    <col min="10242" max="10242" width="35.85546875" style="120" customWidth="1"/>
    <col min="10243" max="10243" width="33.7109375" style="120" customWidth="1"/>
    <col min="10244" max="10244" width="24.85546875" style="120" customWidth="1"/>
    <col min="10245" max="10497" width="11.42578125" style="120"/>
    <col min="10498" max="10498" width="35.85546875" style="120" customWidth="1"/>
    <col min="10499" max="10499" width="33.7109375" style="120" customWidth="1"/>
    <col min="10500" max="10500" width="24.85546875" style="120" customWidth="1"/>
    <col min="10501" max="10753" width="11.42578125" style="120"/>
    <col min="10754" max="10754" width="35.85546875" style="120" customWidth="1"/>
    <col min="10755" max="10755" width="33.7109375" style="120" customWidth="1"/>
    <col min="10756" max="10756" width="24.85546875" style="120" customWidth="1"/>
    <col min="10757" max="11009" width="11.42578125" style="120"/>
    <col min="11010" max="11010" width="35.85546875" style="120" customWidth="1"/>
    <col min="11011" max="11011" width="33.7109375" style="120" customWidth="1"/>
    <col min="11012" max="11012" width="24.85546875" style="120" customWidth="1"/>
    <col min="11013" max="11265" width="11.42578125" style="120"/>
    <col min="11266" max="11266" width="35.85546875" style="120" customWidth="1"/>
    <col min="11267" max="11267" width="33.7109375" style="120" customWidth="1"/>
    <col min="11268" max="11268" width="24.85546875" style="120" customWidth="1"/>
    <col min="11269" max="11521" width="11.42578125" style="120"/>
    <col min="11522" max="11522" width="35.85546875" style="120" customWidth="1"/>
    <col min="11523" max="11523" width="33.7109375" style="120" customWidth="1"/>
    <col min="11524" max="11524" width="24.85546875" style="120" customWidth="1"/>
    <col min="11525" max="11777" width="11.42578125" style="120"/>
    <col min="11778" max="11778" width="35.85546875" style="120" customWidth="1"/>
    <col min="11779" max="11779" width="33.7109375" style="120" customWidth="1"/>
    <col min="11780" max="11780" width="24.85546875" style="120" customWidth="1"/>
    <col min="11781" max="12033" width="11.42578125" style="120"/>
    <col min="12034" max="12034" width="35.85546875" style="120" customWidth="1"/>
    <col min="12035" max="12035" width="33.7109375" style="120" customWidth="1"/>
    <col min="12036" max="12036" width="24.85546875" style="120" customWidth="1"/>
    <col min="12037" max="12289" width="11.42578125" style="120"/>
    <col min="12290" max="12290" width="35.85546875" style="120" customWidth="1"/>
    <col min="12291" max="12291" width="33.7109375" style="120" customWidth="1"/>
    <col min="12292" max="12292" width="24.85546875" style="120" customWidth="1"/>
    <col min="12293" max="12545" width="11.42578125" style="120"/>
    <col min="12546" max="12546" width="35.85546875" style="120" customWidth="1"/>
    <col min="12547" max="12547" width="33.7109375" style="120" customWidth="1"/>
    <col min="12548" max="12548" width="24.85546875" style="120" customWidth="1"/>
    <col min="12549" max="12801" width="11.42578125" style="120"/>
    <col min="12802" max="12802" width="35.85546875" style="120" customWidth="1"/>
    <col min="12803" max="12803" width="33.7109375" style="120" customWidth="1"/>
    <col min="12804" max="12804" width="24.85546875" style="120" customWidth="1"/>
    <col min="12805" max="13057" width="11.42578125" style="120"/>
    <col min="13058" max="13058" width="35.85546875" style="120" customWidth="1"/>
    <col min="13059" max="13059" width="33.7109375" style="120" customWidth="1"/>
    <col min="13060" max="13060" width="24.85546875" style="120" customWidth="1"/>
    <col min="13061" max="13313" width="11.42578125" style="120"/>
    <col min="13314" max="13314" width="35.85546875" style="120" customWidth="1"/>
    <col min="13315" max="13315" width="33.7109375" style="120" customWidth="1"/>
    <col min="13316" max="13316" width="24.85546875" style="120" customWidth="1"/>
    <col min="13317" max="13569" width="11.42578125" style="120"/>
    <col min="13570" max="13570" width="35.85546875" style="120" customWidth="1"/>
    <col min="13571" max="13571" width="33.7109375" style="120" customWidth="1"/>
    <col min="13572" max="13572" width="24.85546875" style="120" customWidth="1"/>
    <col min="13573" max="13825" width="11.42578125" style="120"/>
    <col min="13826" max="13826" width="35.85546875" style="120" customWidth="1"/>
    <col min="13827" max="13827" width="33.7109375" style="120" customWidth="1"/>
    <col min="13828" max="13828" width="24.85546875" style="120" customWidth="1"/>
    <col min="13829" max="14081" width="11.42578125" style="120"/>
    <col min="14082" max="14082" width="35.85546875" style="120" customWidth="1"/>
    <col min="14083" max="14083" width="33.7109375" style="120" customWidth="1"/>
    <col min="14084" max="14084" width="24.85546875" style="120" customWidth="1"/>
    <col min="14085" max="14337" width="11.42578125" style="120"/>
    <col min="14338" max="14338" width="35.85546875" style="120" customWidth="1"/>
    <col min="14339" max="14339" width="33.7109375" style="120" customWidth="1"/>
    <col min="14340" max="14340" width="24.85546875" style="120" customWidth="1"/>
    <col min="14341" max="14593" width="11.42578125" style="120"/>
    <col min="14594" max="14594" width="35.85546875" style="120" customWidth="1"/>
    <col min="14595" max="14595" width="33.7109375" style="120" customWidth="1"/>
    <col min="14596" max="14596" width="24.85546875" style="120" customWidth="1"/>
    <col min="14597" max="14849" width="11.42578125" style="120"/>
    <col min="14850" max="14850" width="35.85546875" style="120" customWidth="1"/>
    <col min="14851" max="14851" width="33.7109375" style="120" customWidth="1"/>
    <col min="14852" max="14852" width="24.85546875" style="120" customWidth="1"/>
    <col min="14853" max="15105" width="11.42578125" style="120"/>
    <col min="15106" max="15106" width="35.85546875" style="120" customWidth="1"/>
    <col min="15107" max="15107" width="33.7109375" style="120" customWidth="1"/>
    <col min="15108" max="15108" width="24.85546875" style="120" customWidth="1"/>
    <col min="15109" max="15361" width="11.42578125" style="120"/>
    <col min="15362" max="15362" width="35.85546875" style="120" customWidth="1"/>
    <col min="15363" max="15363" width="33.7109375" style="120" customWidth="1"/>
    <col min="15364" max="15364" width="24.85546875" style="120" customWidth="1"/>
    <col min="15365" max="15617" width="11.42578125" style="120"/>
    <col min="15618" max="15618" width="35.85546875" style="120" customWidth="1"/>
    <col min="15619" max="15619" width="33.7109375" style="120" customWidth="1"/>
    <col min="15620" max="15620" width="24.85546875" style="120" customWidth="1"/>
    <col min="15621" max="15873" width="11.42578125" style="120"/>
    <col min="15874" max="15874" width="35.85546875" style="120" customWidth="1"/>
    <col min="15875" max="15875" width="33.7109375" style="120" customWidth="1"/>
    <col min="15876" max="15876" width="24.85546875" style="120" customWidth="1"/>
    <col min="15877" max="16129" width="11.42578125" style="120"/>
    <col min="16130" max="16130" width="35.85546875" style="120" customWidth="1"/>
    <col min="16131" max="16131" width="33.7109375" style="120" customWidth="1"/>
    <col min="16132" max="16132" width="24.85546875" style="120" customWidth="1"/>
    <col min="16133" max="16384" width="11.42578125" style="120"/>
  </cols>
  <sheetData>
    <row r="1" spans="1:6">
      <c r="A1" s="126" t="s">
        <v>1423</v>
      </c>
      <c r="B1" s="127" t="s">
        <v>1424</v>
      </c>
      <c r="C1" s="127" t="s">
        <v>1425</v>
      </c>
      <c r="D1" s="128" t="s">
        <v>1426</v>
      </c>
      <c r="E1" s="129" t="s">
        <v>1427</v>
      </c>
    </row>
    <row r="2" spans="1:6" ht="16.149999999999999" customHeight="1">
      <c r="A2" s="122" t="s">
        <v>60</v>
      </c>
      <c r="B2" s="123" t="s">
        <v>1428</v>
      </c>
      <c r="C2" s="130" t="s">
        <v>1429</v>
      </c>
      <c r="D2" s="124">
        <v>3178547773</v>
      </c>
      <c r="E2" s="124" t="s">
        <v>1430</v>
      </c>
    </row>
    <row r="3" spans="1:6" ht="16.149999999999999" customHeight="1">
      <c r="A3" s="122" t="s">
        <v>60</v>
      </c>
      <c r="B3" s="131" t="s">
        <v>1431</v>
      </c>
      <c r="C3" s="125" t="s">
        <v>1432</v>
      </c>
      <c r="D3" s="124">
        <v>3187702178</v>
      </c>
      <c r="E3" s="124" t="s">
        <v>1433</v>
      </c>
    </row>
    <row r="4" spans="1:6" ht="16.149999999999999" customHeight="1">
      <c r="A4" s="122" t="s">
        <v>60</v>
      </c>
      <c r="B4" s="132" t="s">
        <v>891</v>
      </c>
      <c r="C4" s="133" t="s">
        <v>1434</v>
      </c>
      <c r="D4" s="124">
        <v>3176352332</v>
      </c>
      <c r="E4" s="124" t="s">
        <v>1435</v>
      </c>
    </row>
    <row r="5" spans="1:6" ht="16.149999999999999" customHeight="1">
      <c r="A5" s="122" t="s">
        <v>60</v>
      </c>
      <c r="B5" s="132" t="s">
        <v>1436</v>
      </c>
      <c r="C5" s="134" t="s">
        <v>1437</v>
      </c>
      <c r="D5" s="124">
        <v>3164416480</v>
      </c>
      <c r="E5" s="124" t="s">
        <v>1435</v>
      </c>
    </row>
    <row r="6" spans="1:6" ht="16.149999999999999" customHeight="1">
      <c r="A6" s="122" t="s">
        <v>60</v>
      </c>
      <c r="B6" s="131" t="s">
        <v>1438</v>
      </c>
      <c r="C6" s="122" t="s">
        <v>1439</v>
      </c>
      <c r="D6" s="124">
        <v>3214364504</v>
      </c>
      <c r="E6" s="124" t="s">
        <v>1435</v>
      </c>
    </row>
    <row r="7" spans="1:6" ht="16.149999999999999" customHeight="1">
      <c r="A7" s="122" t="s">
        <v>60</v>
      </c>
      <c r="B7" s="123" t="s">
        <v>1440</v>
      </c>
      <c r="C7" s="122" t="s">
        <v>1441</v>
      </c>
      <c r="D7" s="124">
        <v>3183596473</v>
      </c>
      <c r="E7" s="124" t="s">
        <v>1435</v>
      </c>
    </row>
    <row r="8" spans="1:6" ht="16.149999999999999" customHeight="1">
      <c r="A8" s="122" t="s">
        <v>60</v>
      </c>
      <c r="B8" s="123" t="s">
        <v>808</v>
      </c>
      <c r="C8" s="122" t="s">
        <v>1442</v>
      </c>
      <c r="D8" s="124">
        <v>3228817201</v>
      </c>
      <c r="E8" s="124" t="s">
        <v>1435</v>
      </c>
    </row>
    <row r="9" spans="1:6" ht="16.149999999999999" customHeight="1">
      <c r="A9" s="122" t="s">
        <v>60</v>
      </c>
      <c r="B9" s="123" t="s">
        <v>1443</v>
      </c>
      <c r="C9" s="133" t="s">
        <v>1444</v>
      </c>
      <c r="D9" s="124">
        <v>3176675658</v>
      </c>
      <c r="E9" s="124" t="s">
        <v>1435</v>
      </c>
    </row>
    <row r="10" spans="1:6" ht="16.149999999999999" customHeight="1">
      <c r="A10" s="122" t="s">
        <v>60</v>
      </c>
      <c r="B10" s="123" t="s">
        <v>1285</v>
      </c>
      <c r="C10" s="122" t="s">
        <v>1445</v>
      </c>
      <c r="D10" s="124">
        <v>3233225065</v>
      </c>
      <c r="E10" s="124" t="s">
        <v>1446</v>
      </c>
      <c r="F10" s="121"/>
    </row>
    <row r="11" spans="1:6" ht="16.149999999999999" customHeight="1">
      <c r="A11" s="122" t="s">
        <v>60</v>
      </c>
      <c r="B11" s="123" t="s">
        <v>878</v>
      </c>
      <c r="C11" s="135" t="s">
        <v>1447</v>
      </c>
      <c r="D11" s="124">
        <v>3162421761</v>
      </c>
      <c r="E11" s="124" t="s">
        <v>1448</v>
      </c>
    </row>
    <row r="12" spans="1:6" ht="16.149999999999999" customHeight="1">
      <c r="A12" s="122" t="s">
        <v>60</v>
      </c>
      <c r="B12" s="132" t="s">
        <v>1449</v>
      </c>
      <c r="C12" s="133" t="s">
        <v>1450</v>
      </c>
      <c r="D12" s="124">
        <v>3168785276</v>
      </c>
      <c r="E12" s="124" t="s">
        <v>1448</v>
      </c>
    </row>
    <row r="13" spans="1:6" ht="16.149999999999999" customHeight="1">
      <c r="A13" s="122" t="s">
        <v>60</v>
      </c>
      <c r="B13" s="132" t="s">
        <v>1451</v>
      </c>
      <c r="C13" s="122" t="s">
        <v>1452</v>
      </c>
      <c r="D13" s="124">
        <v>3162421761</v>
      </c>
      <c r="E13" s="124" t="s">
        <v>1448</v>
      </c>
    </row>
    <row r="14" spans="1:6" ht="16.149999999999999" customHeight="1">
      <c r="A14" s="122" t="s">
        <v>60</v>
      </c>
      <c r="B14" s="123" t="s">
        <v>1453</v>
      </c>
      <c r="C14" s="133" t="s">
        <v>1454</v>
      </c>
      <c r="D14" s="124">
        <v>3162421761</v>
      </c>
      <c r="E14" s="124" t="s">
        <v>1448</v>
      </c>
    </row>
    <row r="15" spans="1:6" ht="16.149999999999999" customHeight="1">
      <c r="A15" s="122" t="s">
        <v>1455</v>
      </c>
      <c r="B15" s="132" t="s">
        <v>1456</v>
      </c>
      <c r="C15" s="133" t="s">
        <v>1457</v>
      </c>
      <c r="D15" s="124">
        <v>3183355665</v>
      </c>
      <c r="E15" s="124" t="s">
        <v>1448</v>
      </c>
    </row>
    <row r="16" spans="1:6" ht="16.149999999999999" customHeight="1">
      <c r="A16" s="122" t="s">
        <v>1455</v>
      </c>
      <c r="B16" s="123" t="s">
        <v>1458</v>
      </c>
      <c r="C16" s="120" t="s">
        <v>1459</v>
      </c>
      <c r="D16" s="124">
        <v>3185169894</v>
      </c>
      <c r="E16" s="124" t="s">
        <v>1448</v>
      </c>
    </row>
    <row r="17" spans="1:6" ht="16.149999999999999" customHeight="1">
      <c r="A17" s="122" t="s">
        <v>212</v>
      </c>
      <c r="B17" s="132" t="s">
        <v>1460</v>
      </c>
      <c r="C17" s="133" t="s">
        <v>1461</v>
      </c>
      <c r="D17" s="124">
        <v>3178929192</v>
      </c>
      <c r="E17" s="124" t="s">
        <v>1448</v>
      </c>
    </row>
    <row r="18" spans="1:6" ht="16.149999999999999" customHeight="1">
      <c r="A18" s="122" t="s">
        <v>212</v>
      </c>
      <c r="B18" s="123" t="s">
        <v>1462</v>
      </c>
      <c r="C18" s="133" t="s">
        <v>1463</v>
      </c>
      <c r="D18" s="124">
        <v>3184093825</v>
      </c>
      <c r="E18" s="124" t="s">
        <v>1448</v>
      </c>
    </row>
    <row r="19" spans="1:6" ht="16.149999999999999" customHeight="1">
      <c r="A19" s="122" t="s">
        <v>188</v>
      </c>
      <c r="B19" s="132" t="s">
        <v>1464</v>
      </c>
      <c r="C19" s="133" t="s">
        <v>1465</v>
      </c>
      <c r="D19" s="124">
        <v>3183355644</v>
      </c>
      <c r="E19" s="124" t="s">
        <v>1448</v>
      </c>
    </row>
    <row r="20" spans="1:6" ht="16.149999999999999" customHeight="1">
      <c r="A20" s="122" t="s">
        <v>216</v>
      </c>
      <c r="B20" s="132" t="s">
        <v>1466</v>
      </c>
      <c r="C20" s="133" t="s">
        <v>1467</v>
      </c>
      <c r="D20" s="124">
        <v>3183355485</v>
      </c>
      <c r="E20" s="124" t="s">
        <v>1448</v>
      </c>
    </row>
    <row r="21" spans="1:6" ht="16.149999999999999" customHeight="1">
      <c r="A21" s="122" t="s">
        <v>216</v>
      </c>
      <c r="B21" s="123" t="s">
        <v>1468</v>
      </c>
      <c r="C21" s="122" t="s">
        <v>1469</v>
      </c>
      <c r="D21" s="124">
        <v>3128500956</v>
      </c>
      <c r="E21" s="124" t="s">
        <v>1448</v>
      </c>
    </row>
    <row r="22" spans="1:6" ht="16.149999999999999" customHeight="1">
      <c r="A22" s="122" t="s">
        <v>1470</v>
      </c>
      <c r="B22" s="123" t="s">
        <v>1471</v>
      </c>
      <c r="C22" s="122" t="s">
        <v>1472</v>
      </c>
      <c r="D22" s="124" t="s">
        <v>1473</v>
      </c>
      <c r="E22" s="124" t="s">
        <v>1473</v>
      </c>
      <c r="F22" s="121" t="s">
        <v>1474</v>
      </c>
    </row>
    <row r="23" spans="1:6" ht="16.149999999999999" customHeight="1">
      <c r="A23" s="122" t="s">
        <v>1475</v>
      </c>
      <c r="B23" s="123" t="s">
        <v>1476</v>
      </c>
      <c r="C23" s="122" t="s">
        <v>1477</v>
      </c>
      <c r="D23" s="124" t="s">
        <v>1473</v>
      </c>
      <c r="E23" s="124" t="s">
        <v>1473</v>
      </c>
      <c r="F23" s="121" t="s">
        <v>1478</v>
      </c>
    </row>
    <row r="24" spans="1:6" ht="27.6">
      <c r="A24" s="122" t="s">
        <v>60</v>
      </c>
      <c r="B24" s="123" t="s">
        <v>1479</v>
      </c>
      <c r="C24" s="122" t="s">
        <v>1480</v>
      </c>
      <c r="D24" s="124">
        <v>3165135677</v>
      </c>
      <c r="E24" s="124" t="s">
        <v>1481</v>
      </c>
      <c r="F24" s="121"/>
    </row>
    <row r="25" spans="1:6" ht="28.15" customHeight="1">
      <c r="A25" s="122" t="s">
        <v>60</v>
      </c>
      <c r="B25" s="123" t="s">
        <v>1482</v>
      </c>
      <c r="C25" s="122" t="s">
        <v>1483</v>
      </c>
      <c r="D25" s="124"/>
      <c r="E25" s="124" t="s">
        <v>1481</v>
      </c>
      <c r="F25" s="121"/>
    </row>
    <row r="29" spans="1:6">
      <c r="B29" s="136" t="s">
        <v>1484</v>
      </c>
    </row>
    <row r="30" spans="1:6" ht="3" customHeight="1">
      <c r="A30" s="137"/>
    </row>
    <row r="31" spans="1:6" ht="14.45">
      <c r="A31" s="120" t="s">
        <v>60</v>
      </c>
      <c r="B31" s="321" t="s">
        <v>1485</v>
      </c>
    </row>
    <row r="32" spans="1:6" ht="14.45">
      <c r="A32" s="138" t="s">
        <v>1486</v>
      </c>
      <c r="B32" s="273" t="s">
        <v>1487</v>
      </c>
    </row>
    <row r="33" spans="1:4">
      <c r="A33" s="140" t="s">
        <v>1488</v>
      </c>
      <c r="B33" s="121" t="s">
        <v>1489</v>
      </c>
    </row>
    <row r="34" spans="1:4">
      <c r="A34" s="139"/>
      <c r="B34" s="121"/>
    </row>
    <row r="35" spans="1:4" ht="14.45" thickBot="1">
      <c r="A35" s="139"/>
    </row>
    <row r="36" spans="1:4" ht="14.45">
      <c r="A36"/>
      <c r="B36" s="782" t="s">
        <v>1490</v>
      </c>
      <c r="C36" s="783"/>
      <c r="D36"/>
    </row>
    <row r="37" spans="1:4" ht="14.45">
      <c r="A37" s="141" t="s">
        <v>12</v>
      </c>
      <c r="B37" s="141" t="s">
        <v>1491</v>
      </c>
      <c r="C37" s="141" t="s">
        <v>1492</v>
      </c>
      <c r="D37" s="141" t="s">
        <v>1493</v>
      </c>
    </row>
    <row r="38" spans="1:4" ht="14.45">
      <c r="A38" s="111" t="s">
        <v>87</v>
      </c>
      <c r="B38" s="93" t="s">
        <v>1494</v>
      </c>
      <c r="C38" s="93" t="s">
        <v>1495</v>
      </c>
      <c r="D38" s="109" t="s">
        <v>1496</v>
      </c>
    </row>
    <row r="39" spans="1:4" ht="14.45">
      <c r="A39" s="111" t="s">
        <v>87</v>
      </c>
      <c r="B39" s="93" t="s">
        <v>1497</v>
      </c>
      <c r="C39" s="93" t="s">
        <v>1498</v>
      </c>
      <c r="D39" s="109" t="s">
        <v>1499</v>
      </c>
    </row>
    <row r="40" spans="1:4" ht="15">
      <c r="A40" s="111" t="s">
        <v>69</v>
      </c>
      <c r="B40" s="93"/>
      <c r="C40" s="93" t="s">
        <v>1500</v>
      </c>
      <c r="D40" s="540" t="s">
        <v>1501</v>
      </c>
    </row>
    <row r="41" spans="1:4" ht="14.45">
      <c r="A41" s="111" t="s">
        <v>74</v>
      </c>
      <c r="B41" s="93" t="s">
        <v>1502</v>
      </c>
      <c r="C41" s="93"/>
      <c r="D41" s="109" t="s">
        <v>1503</v>
      </c>
    </row>
    <row r="42" spans="1:4" ht="14.45">
      <c r="A42" s="111" t="s">
        <v>1504</v>
      </c>
      <c r="B42" s="93" t="s">
        <v>1505</v>
      </c>
      <c r="C42" s="93"/>
      <c r="D42" s="109" t="s">
        <v>1506</v>
      </c>
    </row>
    <row r="43" spans="1:4" ht="15">
      <c r="A43" s="543" t="s">
        <v>1507</v>
      </c>
      <c r="B43" s="93" t="s">
        <v>1508</v>
      </c>
      <c r="C43" s="93" t="s">
        <v>1509</v>
      </c>
      <c r="D43" s="542" t="s">
        <v>1510</v>
      </c>
    </row>
    <row r="48" spans="1:4" ht="14.25">
      <c r="B48" s="541" t="s">
        <v>1511</v>
      </c>
    </row>
    <row r="49" spans="2:2" ht="14.25">
      <c r="B49" s="541" t="s">
        <v>1512</v>
      </c>
    </row>
  </sheetData>
  <autoFilter ref="A1:E25" xr:uid="{CBFFB71F-4B82-4BE8-9E85-2FF48E0D1E3C}"/>
  <mergeCells count="1">
    <mergeCell ref="B36:C36"/>
  </mergeCells>
  <hyperlinks>
    <hyperlink ref="C2" r:id="rId1" display="francygaleano@comfandi.com.co" xr:uid="{DF987A8E-C57E-4941-900F-D65436F56D82}"/>
    <hyperlink ref="C5" r:id="rId2" display="freddyhernandez@comfandi.com.co" xr:uid="{5D70DDDC-87A8-4940-9447-B2732261A4F0}"/>
    <hyperlink ref="C4" r:id="rId3" display="dianaramos@comfandi.com.co" xr:uid="{5F2D105A-AA5B-44B0-BBC7-76C430BF7B5D}"/>
    <hyperlink ref="C9" r:id="rId4" display="oscarcastillo@comfandi.com.co" xr:uid="{4D3A5398-AA36-4A70-B80C-9A40B7A0ECCD}"/>
    <hyperlink ref="C17" r:id="rId5" display="mantenimientotulua@comfandi.com.co" xr:uid="{4F2E7C19-3CD8-4F24-BB4B-DE3E2E76934D}"/>
    <hyperlink ref="C18" r:id="rId6" display="jorgelondono@comfandi.com.co" xr:uid="{A2938805-286E-4040-8A04-98C46F12BC11}"/>
    <hyperlink ref="C14" r:id="rId7" display="fernandogaleano@comfandi.com.co" xr:uid="{E130B807-8024-467A-A851-2DE8750B56EF}"/>
    <hyperlink ref="C12" r:id="rId8" display="hernandonarvaez@comfandi.com.co" xr:uid="{C9AC34C0-7160-48BA-8307-2AFB86E9CD58}"/>
    <hyperlink ref="C15" r:id="rId9" display="jairoarboleda@comfandi.com.co" xr:uid="{D190D698-AA10-40E1-BE72-CEBF1562076E}"/>
    <hyperlink ref="C19" r:id="rId10" display="bernardoalarcon@comfandi.com.co" xr:uid="{6EDCFD24-E360-459C-A969-98488C64D8FA}"/>
    <hyperlink ref="C20" r:id="rId11" display="williamramirez@comfandi.com.co" xr:uid="{DB0C019C-12B7-4D59-B6A3-64825EB17636}"/>
    <hyperlink ref="D38" r:id="rId12" display="erikamogollon@comfandi.com.co,williamobando@comfandi.com.co" xr:uid="{FBBE9235-F499-4A40-BE1D-4D25D094481A}"/>
    <hyperlink ref="D39" r:id="rId13" display="jorgecarranza@comfandi.com.co,dianarojas@comfandi.com.co" xr:uid="{2981B5D8-EBBD-4C19-A2F3-DA6C94D90435}"/>
    <hyperlink ref="D40" r:id="rId14" xr:uid="{95FE6998-023E-4D4B-8A1B-CABDD3DDE17C}"/>
    <hyperlink ref="D42" r:id="rId15" xr:uid="{F96260D4-0E38-4F9F-98D0-12F6842652F2}"/>
    <hyperlink ref="B31" r:id="rId16" xr:uid="{57B605A5-545F-4FC5-B200-F3448385A497}"/>
    <hyperlink ref="B32" r:id="rId17" xr:uid="{E5FCACD8-D51C-4046-9484-8F1505E00228}"/>
    <hyperlink ref="B48" r:id="rId18" display="francygaleano@comfandi.com.co; viviansramirez@comfandi.com.co; jansengiraldo@comfandi.com.co; brayanardila@comfandi.com.co; leonardosarria@comfandi.com.co; aprendizmantenimiento1@comfandi.com.co;sebastianarias@comfandi.com.co;hectorcaicedo@comfandi.com.co; mariamartinez@comfandi.com.co; yubizanvelasco@comfandi.com.co" xr:uid="{F64A3147-97D7-455F-B237-B9D0135F97EF}"/>
    <hyperlink ref="B49" r:id="rId19" xr:uid="{5E523A34-3426-4204-BBE5-15949D495BE8}"/>
    <hyperlink ref="D43" r:id="rId20" xr:uid="{AE53CF66-A245-41E0-BFED-07D6F0B59E50}"/>
  </hyperlinks>
  <pageMargins left="0.7" right="0.7" top="0.75" bottom="0.75" header="0.3" footer="0.3"/>
  <pageSetup paperSize="9" orientation="portrait" r:id="rId21"/>
  <legacyDrawing r:id="rId2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C8DD-0E12-452D-98E0-812E6AC256EC}">
  <sheetPr codeName="Hoja6">
    <tabColor rgb="FF0070C0"/>
  </sheetPr>
  <dimension ref="A1:U30"/>
  <sheetViews>
    <sheetView showGridLines="0" zoomScale="70" zoomScaleNormal="70" workbookViewId="0">
      <pane xSplit="4" ySplit="2" topLeftCell="E6" activePane="bottomRight" state="frozen"/>
      <selection pane="bottomRight" activeCell="U30" sqref="U30"/>
      <selection pane="bottomLeft" activeCell="J168" sqref="J168"/>
      <selection pane="topRight" activeCell="J168" sqref="J168"/>
    </sheetView>
  </sheetViews>
  <sheetFormatPr defaultColWidth="9.140625" defaultRowHeight="14.45"/>
  <cols>
    <col min="1" max="1" width="5.28515625" style="84" customWidth="1"/>
    <col min="2" max="2" width="40.85546875" style="158" customWidth="1"/>
    <col min="3" max="3" width="9.5703125" style="158" bestFit="1" customWidth="1"/>
    <col min="4" max="4" width="38.5703125" style="158" customWidth="1"/>
    <col min="5" max="5" width="9.7109375" style="158" customWidth="1"/>
    <col min="6" max="6" width="12.7109375" style="158" customWidth="1"/>
    <col min="7" max="7" width="8.7109375" style="158" customWidth="1"/>
    <col min="8" max="8" width="9.5703125" style="84" bestFit="1" customWidth="1"/>
    <col min="9" max="9" width="10.7109375" style="84" customWidth="1"/>
    <col min="10" max="11" width="8.7109375" style="84" bestFit="1" customWidth="1"/>
    <col min="12" max="12" width="8.7109375" style="84" customWidth="1"/>
    <col min="13" max="13" width="12" style="84" customWidth="1"/>
    <col min="14" max="14" width="8.7109375" style="84" customWidth="1"/>
    <col min="15" max="15" width="8.7109375" style="84" bestFit="1" customWidth="1"/>
    <col min="16" max="16" width="8.85546875" style="84" bestFit="1" customWidth="1"/>
    <col min="17" max="18" width="8.7109375" style="84" customWidth="1"/>
    <col min="19" max="19" width="8.7109375" style="84" bestFit="1" customWidth="1"/>
    <col min="20" max="21" width="8.7109375" style="84" customWidth="1"/>
    <col min="22" max="16384" width="9.140625" style="158"/>
  </cols>
  <sheetData>
    <row r="1" spans="1:21" ht="16.149999999999999" thickBot="1">
      <c r="A1" s="156"/>
      <c r="B1" s="157"/>
      <c r="C1" s="157"/>
      <c r="D1" s="157"/>
      <c r="E1" s="795" t="s">
        <v>1513</v>
      </c>
      <c r="F1" s="796"/>
      <c r="G1" s="796"/>
      <c r="H1" s="796"/>
      <c r="I1" s="796"/>
      <c r="J1" s="796"/>
      <c r="K1" s="797"/>
      <c r="L1" s="798" t="s">
        <v>1514</v>
      </c>
      <c r="M1" s="799"/>
      <c r="N1" s="800" t="s">
        <v>1515</v>
      </c>
      <c r="O1" s="801"/>
      <c r="P1" s="802"/>
      <c r="Q1" s="785" t="s">
        <v>69</v>
      </c>
      <c r="R1" s="786"/>
      <c r="S1" s="786"/>
      <c r="T1" s="786"/>
      <c r="U1" s="787"/>
    </row>
    <row r="2" spans="1:21" s="84" customFormat="1" ht="31.15" thickBot="1">
      <c r="A2" s="98" t="s">
        <v>290</v>
      </c>
      <c r="B2" s="159" t="s">
        <v>1516</v>
      </c>
      <c r="C2" s="159" t="s">
        <v>14</v>
      </c>
      <c r="D2" s="160" t="s">
        <v>1517</v>
      </c>
      <c r="E2" s="381" t="s">
        <v>1518</v>
      </c>
      <c r="F2" s="447" t="s">
        <v>1519</v>
      </c>
      <c r="G2" s="382" t="s">
        <v>1520</v>
      </c>
      <c r="H2" s="382" t="s">
        <v>1521</v>
      </c>
      <c r="I2" s="382" t="s">
        <v>1522</v>
      </c>
      <c r="J2" s="382" t="s">
        <v>1523</v>
      </c>
      <c r="K2" s="383" t="s">
        <v>1524</v>
      </c>
      <c r="L2" s="384" t="s">
        <v>1525</v>
      </c>
      <c r="M2" s="385" t="s">
        <v>1526</v>
      </c>
      <c r="N2" s="386" t="s">
        <v>1527</v>
      </c>
      <c r="O2" s="387" t="s">
        <v>1528</v>
      </c>
      <c r="P2" s="388" t="s">
        <v>1529</v>
      </c>
      <c r="Q2" s="389" t="s">
        <v>1530</v>
      </c>
      <c r="R2" s="390" t="s">
        <v>1531</v>
      </c>
      <c r="S2" s="390" t="s">
        <v>1532</v>
      </c>
      <c r="T2" s="390" t="s">
        <v>1533</v>
      </c>
      <c r="U2" s="391" t="s">
        <v>1534</v>
      </c>
    </row>
    <row r="3" spans="1:21" ht="27.6">
      <c r="A3" s="161">
        <v>1</v>
      </c>
      <c r="B3" s="162" t="s">
        <v>1535</v>
      </c>
      <c r="C3" s="163" t="s">
        <v>1536</v>
      </c>
      <c r="D3" s="164" t="s">
        <v>1537</v>
      </c>
      <c r="E3" s="392"/>
      <c r="F3" s="395"/>
      <c r="G3" s="393" t="s">
        <v>1538</v>
      </c>
      <c r="H3" s="393" t="s">
        <v>1538</v>
      </c>
      <c r="I3" s="393" t="s">
        <v>1538</v>
      </c>
      <c r="J3" s="393" t="s">
        <v>1538</v>
      </c>
      <c r="K3" s="394" t="s">
        <v>1538</v>
      </c>
      <c r="L3" s="392" t="s">
        <v>1538</v>
      </c>
      <c r="M3" s="393" t="s">
        <v>1538</v>
      </c>
      <c r="N3" s="392" t="s">
        <v>1538</v>
      </c>
      <c r="O3" s="393" t="s">
        <v>1538</v>
      </c>
      <c r="P3" s="394" t="s">
        <v>1538</v>
      </c>
      <c r="Q3" s="395" t="s">
        <v>1538</v>
      </c>
      <c r="R3" s="393" t="s">
        <v>1538</v>
      </c>
      <c r="S3" s="393" t="s">
        <v>1538</v>
      </c>
      <c r="T3" s="396" t="s">
        <v>1473</v>
      </c>
      <c r="U3" s="394" t="s">
        <v>1473</v>
      </c>
    </row>
    <row r="4" spans="1:21" ht="30.6">
      <c r="A4" s="169">
        <v>2</v>
      </c>
      <c r="B4" s="170" t="s">
        <v>1539</v>
      </c>
      <c r="C4" s="171" t="s">
        <v>1540</v>
      </c>
      <c r="D4" s="172" t="s">
        <v>1537</v>
      </c>
      <c r="E4" s="175" t="s">
        <v>1541</v>
      </c>
      <c r="F4" s="175" t="s">
        <v>1541</v>
      </c>
      <c r="G4" s="173" t="s">
        <v>1541</v>
      </c>
      <c r="H4" s="173" t="s">
        <v>1541</v>
      </c>
      <c r="I4" s="173" t="s">
        <v>1541</v>
      </c>
      <c r="J4" s="173" t="s">
        <v>1541</v>
      </c>
      <c r="K4" s="174" t="s">
        <v>1541</v>
      </c>
      <c r="L4" s="175" t="s">
        <v>1541</v>
      </c>
      <c r="M4" s="173" t="s">
        <v>1541</v>
      </c>
      <c r="N4" s="175" t="s">
        <v>1541</v>
      </c>
      <c r="O4" s="173" t="s">
        <v>1541</v>
      </c>
      <c r="P4" s="174" t="s">
        <v>1541</v>
      </c>
      <c r="Q4" s="181" t="s">
        <v>1541</v>
      </c>
      <c r="R4" s="173" t="s">
        <v>1541</v>
      </c>
      <c r="S4" s="173" t="s">
        <v>1541</v>
      </c>
      <c r="T4" s="173" t="s">
        <v>1473</v>
      </c>
      <c r="U4" s="174" t="s">
        <v>1473</v>
      </c>
    </row>
    <row r="5" spans="1:21">
      <c r="A5" s="169">
        <v>3</v>
      </c>
      <c r="B5" s="176" t="s">
        <v>1542</v>
      </c>
      <c r="C5" s="177" t="s">
        <v>1543</v>
      </c>
      <c r="D5" s="178" t="s">
        <v>1544</v>
      </c>
      <c r="E5" s="168"/>
      <c r="F5" s="165"/>
      <c r="G5" s="166" t="s">
        <v>1538</v>
      </c>
      <c r="H5" s="166" t="s">
        <v>1538</v>
      </c>
      <c r="I5" s="166" t="s">
        <v>1538</v>
      </c>
      <c r="J5" s="166" t="s">
        <v>1538</v>
      </c>
      <c r="K5" s="167" t="s">
        <v>1538</v>
      </c>
      <c r="L5" s="168" t="s">
        <v>1538</v>
      </c>
      <c r="M5" s="166" t="s">
        <v>1538</v>
      </c>
      <c r="N5" s="168" t="s">
        <v>1538</v>
      </c>
      <c r="O5" s="166" t="s">
        <v>1538</v>
      </c>
      <c r="P5" s="167" t="s">
        <v>1538</v>
      </c>
      <c r="Q5" s="181" t="s">
        <v>1473</v>
      </c>
      <c r="R5" s="173" t="s">
        <v>1473</v>
      </c>
      <c r="S5" s="173" t="s">
        <v>1473</v>
      </c>
      <c r="T5" s="166" t="s">
        <v>1538</v>
      </c>
      <c r="U5" s="174" t="s">
        <v>1473</v>
      </c>
    </row>
    <row r="6" spans="1:21">
      <c r="A6" s="169">
        <v>4</v>
      </c>
      <c r="B6" s="179" t="s">
        <v>1545</v>
      </c>
      <c r="C6" s="177" t="s">
        <v>1543</v>
      </c>
      <c r="D6" s="180" t="s">
        <v>1544</v>
      </c>
      <c r="E6" s="175" t="s">
        <v>1473</v>
      </c>
      <c r="F6" s="165"/>
      <c r="G6" s="173" t="s">
        <v>1473</v>
      </c>
      <c r="H6" s="173" t="s">
        <v>1473</v>
      </c>
      <c r="I6" s="173" t="s">
        <v>1473</v>
      </c>
      <c r="J6" s="173" t="s">
        <v>1473</v>
      </c>
      <c r="K6" s="174" t="s">
        <v>1473</v>
      </c>
      <c r="L6" s="175" t="s">
        <v>1473</v>
      </c>
      <c r="M6" s="173" t="s">
        <v>1473</v>
      </c>
      <c r="N6" s="175" t="s">
        <v>1473</v>
      </c>
      <c r="O6" s="173" t="s">
        <v>1473</v>
      </c>
      <c r="P6" s="174" t="s">
        <v>1473</v>
      </c>
      <c r="Q6" s="181" t="s">
        <v>1473</v>
      </c>
      <c r="R6" s="173" t="s">
        <v>1473</v>
      </c>
      <c r="S6" s="173" t="s">
        <v>1473</v>
      </c>
      <c r="T6" s="173" t="s">
        <v>1473</v>
      </c>
      <c r="U6" s="174" t="s">
        <v>1473</v>
      </c>
    </row>
    <row r="7" spans="1:21">
      <c r="A7" s="169">
        <v>5</v>
      </c>
      <c r="B7" s="182" t="s">
        <v>1546</v>
      </c>
      <c r="C7" s="171" t="s">
        <v>1547</v>
      </c>
      <c r="D7" s="172" t="s">
        <v>1537</v>
      </c>
      <c r="E7" s="175" t="s">
        <v>1473</v>
      </c>
      <c r="F7" s="165"/>
      <c r="G7" s="173" t="s">
        <v>1473</v>
      </c>
      <c r="H7" s="173" t="s">
        <v>1473</v>
      </c>
      <c r="I7" s="166" t="s">
        <v>1538</v>
      </c>
      <c r="J7" s="173" t="s">
        <v>1473</v>
      </c>
      <c r="K7" s="167" t="s">
        <v>1538</v>
      </c>
      <c r="L7" s="175" t="s">
        <v>1473</v>
      </c>
      <c r="M7" s="173" t="s">
        <v>1473</v>
      </c>
      <c r="N7" s="175" t="s">
        <v>1473</v>
      </c>
      <c r="O7" s="173" t="s">
        <v>1473</v>
      </c>
      <c r="P7" s="174" t="s">
        <v>1473</v>
      </c>
      <c r="Q7" s="181" t="s">
        <v>1473</v>
      </c>
      <c r="R7" s="173" t="s">
        <v>1473</v>
      </c>
      <c r="S7" s="173" t="s">
        <v>1473</v>
      </c>
      <c r="T7" s="173" t="s">
        <v>1473</v>
      </c>
      <c r="U7" s="174" t="s">
        <v>1473</v>
      </c>
    </row>
    <row r="8" spans="1:21">
      <c r="A8" s="169">
        <v>6</v>
      </c>
      <c r="B8" s="182" t="s">
        <v>1548</v>
      </c>
      <c r="C8" s="171" t="s">
        <v>1547</v>
      </c>
      <c r="D8" s="172" t="s">
        <v>1537</v>
      </c>
      <c r="E8" s="175" t="s">
        <v>1473</v>
      </c>
      <c r="F8" s="175" t="s">
        <v>1473</v>
      </c>
      <c r="G8" s="173" t="s">
        <v>1473</v>
      </c>
      <c r="H8" s="166" t="s">
        <v>1538</v>
      </c>
      <c r="I8" s="166" t="s">
        <v>1538</v>
      </c>
      <c r="J8" s="166" t="s">
        <v>1538</v>
      </c>
      <c r="K8" s="167" t="s">
        <v>1538</v>
      </c>
      <c r="L8" s="175" t="s">
        <v>1473</v>
      </c>
      <c r="M8" s="173" t="s">
        <v>1473</v>
      </c>
      <c r="N8" s="175" t="s">
        <v>1473</v>
      </c>
      <c r="O8" s="173" t="s">
        <v>1473</v>
      </c>
      <c r="P8" s="174" t="s">
        <v>1473</v>
      </c>
      <c r="Q8" s="181" t="s">
        <v>1473</v>
      </c>
      <c r="R8" s="173" t="s">
        <v>1473</v>
      </c>
      <c r="S8" s="173" t="s">
        <v>1473</v>
      </c>
      <c r="T8" s="173" t="s">
        <v>1473</v>
      </c>
      <c r="U8" s="174" t="s">
        <v>1473</v>
      </c>
    </row>
    <row r="9" spans="1:21">
      <c r="A9" s="169">
        <v>7</v>
      </c>
      <c r="B9" s="182" t="s">
        <v>1549</v>
      </c>
      <c r="C9" s="171" t="s">
        <v>1543</v>
      </c>
      <c r="D9" s="183" t="s">
        <v>1537</v>
      </c>
      <c r="E9" s="168"/>
      <c r="F9" s="165"/>
      <c r="G9" s="166" t="s">
        <v>1538</v>
      </c>
      <c r="H9" s="166" t="s">
        <v>1538</v>
      </c>
      <c r="I9" s="166" t="s">
        <v>1538</v>
      </c>
      <c r="J9" s="166" t="s">
        <v>1538</v>
      </c>
      <c r="K9" s="167" t="s">
        <v>1538</v>
      </c>
      <c r="L9" s="168" t="s">
        <v>1538</v>
      </c>
      <c r="M9" s="166" t="s">
        <v>1538</v>
      </c>
      <c r="N9" s="168" t="s">
        <v>1538</v>
      </c>
      <c r="O9" s="166" t="s">
        <v>1538</v>
      </c>
      <c r="P9" s="167" t="s">
        <v>1538</v>
      </c>
      <c r="Q9" s="165" t="s">
        <v>1538</v>
      </c>
      <c r="R9" s="166" t="s">
        <v>1538</v>
      </c>
      <c r="S9" s="166" t="s">
        <v>1538</v>
      </c>
      <c r="T9" s="166" t="s">
        <v>1538</v>
      </c>
      <c r="U9" s="167" t="s">
        <v>419</v>
      </c>
    </row>
    <row r="10" spans="1:21" ht="27.6">
      <c r="A10" s="169">
        <v>8</v>
      </c>
      <c r="B10" s="182" t="s">
        <v>1550</v>
      </c>
      <c r="C10" s="171" t="s">
        <v>1543</v>
      </c>
      <c r="D10" s="183" t="s">
        <v>1537</v>
      </c>
      <c r="E10" s="168"/>
      <c r="F10" s="165"/>
      <c r="G10" s="166" t="s">
        <v>1538</v>
      </c>
      <c r="H10" s="166" t="s">
        <v>1538</v>
      </c>
      <c r="I10" s="166" t="s">
        <v>1538</v>
      </c>
      <c r="J10" s="166" t="s">
        <v>1538</v>
      </c>
      <c r="K10" s="167" t="s">
        <v>1538</v>
      </c>
      <c r="L10" s="175" t="s">
        <v>1473</v>
      </c>
      <c r="M10" s="173" t="s">
        <v>1473</v>
      </c>
      <c r="N10" s="175" t="s">
        <v>1473</v>
      </c>
      <c r="O10" s="173" t="s">
        <v>1473</v>
      </c>
      <c r="P10" s="174" t="s">
        <v>1473</v>
      </c>
      <c r="Q10" s="181" t="s">
        <v>1473</v>
      </c>
      <c r="R10" s="173" t="s">
        <v>1473</v>
      </c>
      <c r="S10" s="173" t="s">
        <v>1473</v>
      </c>
      <c r="T10" s="173" t="s">
        <v>1473</v>
      </c>
      <c r="U10" s="174" t="s">
        <v>1473</v>
      </c>
    </row>
    <row r="11" spans="1:21">
      <c r="A11" s="169">
        <v>9</v>
      </c>
      <c r="B11" s="182" t="s">
        <v>1551</v>
      </c>
      <c r="C11" s="171" t="s">
        <v>1547</v>
      </c>
      <c r="D11" s="183" t="s">
        <v>1537</v>
      </c>
      <c r="E11" s="175" t="s">
        <v>1473</v>
      </c>
      <c r="F11" s="175" t="s">
        <v>1473</v>
      </c>
      <c r="G11" s="166" t="s">
        <v>1473</v>
      </c>
      <c r="H11" s="166" t="s">
        <v>1538</v>
      </c>
      <c r="I11" s="166" t="s">
        <v>1538</v>
      </c>
      <c r="J11" s="166" t="s">
        <v>1538</v>
      </c>
      <c r="K11" s="174" t="s">
        <v>1473</v>
      </c>
      <c r="L11" s="175" t="s">
        <v>1473</v>
      </c>
      <c r="M11" s="173" t="s">
        <v>1473</v>
      </c>
      <c r="N11" s="175" t="s">
        <v>1473</v>
      </c>
      <c r="O11" s="173" t="s">
        <v>1473</v>
      </c>
      <c r="P11" s="174" t="s">
        <v>1473</v>
      </c>
      <c r="Q11" s="181" t="s">
        <v>1473</v>
      </c>
      <c r="R11" s="173" t="s">
        <v>1473</v>
      </c>
      <c r="S11" s="173" t="s">
        <v>1473</v>
      </c>
      <c r="T11" s="173" t="s">
        <v>1473</v>
      </c>
      <c r="U11" s="174" t="s">
        <v>1473</v>
      </c>
    </row>
    <row r="12" spans="1:21" ht="27.6">
      <c r="A12" s="169">
        <v>10</v>
      </c>
      <c r="B12" s="182" t="s">
        <v>1552</v>
      </c>
      <c r="C12" s="171" t="s">
        <v>1553</v>
      </c>
      <c r="D12" s="183" t="s">
        <v>1537</v>
      </c>
      <c r="E12" s="168"/>
      <c r="F12" s="165"/>
      <c r="G12" s="166" t="s">
        <v>1538</v>
      </c>
      <c r="H12" s="166" t="s">
        <v>1538</v>
      </c>
      <c r="I12" s="166" t="s">
        <v>1538</v>
      </c>
      <c r="J12" s="166" t="s">
        <v>1538</v>
      </c>
      <c r="K12" s="167" t="s">
        <v>1538</v>
      </c>
      <c r="L12" s="168" t="s">
        <v>1538</v>
      </c>
      <c r="M12" s="166" t="s">
        <v>1538</v>
      </c>
      <c r="N12" s="168" t="s">
        <v>1538</v>
      </c>
      <c r="O12" s="166" t="s">
        <v>1538</v>
      </c>
      <c r="P12" s="167" t="s">
        <v>1538</v>
      </c>
      <c r="Q12" s="165" t="s">
        <v>1538</v>
      </c>
      <c r="R12" s="166" t="s">
        <v>1538</v>
      </c>
      <c r="S12" s="166" t="s">
        <v>1538</v>
      </c>
      <c r="T12" s="166" t="s">
        <v>1538</v>
      </c>
      <c r="U12" s="167" t="s">
        <v>419</v>
      </c>
    </row>
    <row r="13" spans="1:21">
      <c r="A13" s="169">
        <v>11</v>
      </c>
      <c r="B13" s="179" t="s">
        <v>1554</v>
      </c>
      <c r="C13" s="171" t="s">
        <v>1553</v>
      </c>
      <c r="D13" s="172" t="s">
        <v>1555</v>
      </c>
      <c r="E13" s="168"/>
      <c r="F13" s="165"/>
      <c r="G13" s="166" t="s">
        <v>1538</v>
      </c>
      <c r="H13" s="166" t="s">
        <v>1538</v>
      </c>
      <c r="I13" s="166" t="s">
        <v>1538</v>
      </c>
      <c r="J13" s="166" t="s">
        <v>1538</v>
      </c>
      <c r="K13" s="167" t="s">
        <v>1538</v>
      </c>
      <c r="L13" s="168" t="s">
        <v>1538</v>
      </c>
      <c r="M13" s="166" t="s">
        <v>1538</v>
      </c>
      <c r="N13" s="168" t="s">
        <v>1538</v>
      </c>
      <c r="O13" s="166" t="s">
        <v>1538</v>
      </c>
      <c r="P13" s="167" t="s">
        <v>1538</v>
      </c>
      <c r="Q13" s="165" t="s">
        <v>1538</v>
      </c>
      <c r="R13" s="166" t="s">
        <v>1538</v>
      </c>
      <c r="S13" s="166" t="s">
        <v>1538</v>
      </c>
      <c r="T13" s="166" t="s">
        <v>1538</v>
      </c>
      <c r="U13" s="167" t="s">
        <v>419</v>
      </c>
    </row>
    <row r="14" spans="1:21">
      <c r="A14" s="169">
        <v>12</v>
      </c>
      <c r="B14" s="179" t="s">
        <v>1556</v>
      </c>
      <c r="C14" s="177" t="s">
        <v>1543</v>
      </c>
      <c r="D14" s="184" t="s">
        <v>1544</v>
      </c>
      <c r="E14" s="168"/>
      <c r="F14" s="165"/>
      <c r="G14" s="166" t="s">
        <v>1538</v>
      </c>
      <c r="H14" s="166" t="s">
        <v>1538</v>
      </c>
      <c r="I14" s="166" t="s">
        <v>1538</v>
      </c>
      <c r="J14" s="166" t="s">
        <v>1538</v>
      </c>
      <c r="K14" s="167" t="s">
        <v>1538</v>
      </c>
      <c r="L14" s="175" t="s">
        <v>1473</v>
      </c>
      <c r="M14" s="166" t="s">
        <v>1538</v>
      </c>
      <c r="N14" s="168" t="s">
        <v>1538</v>
      </c>
      <c r="O14" s="166" t="s">
        <v>1538</v>
      </c>
      <c r="P14" s="167" t="s">
        <v>1538</v>
      </c>
      <c r="Q14" s="181" t="s">
        <v>1473</v>
      </c>
      <c r="R14" s="173" t="s">
        <v>1473</v>
      </c>
      <c r="S14" s="173" t="s">
        <v>1473</v>
      </c>
      <c r="T14" s="173" t="s">
        <v>1473</v>
      </c>
      <c r="U14" s="174" t="s">
        <v>1473</v>
      </c>
    </row>
    <row r="15" spans="1:21">
      <c r="A15" s="169">
        <v>13</v>
      </c>
      <c r="B15" s="179" t="s">
        <v>1557</v>
      </c>
      <c r="C15" s="171" t="s">
        <v>1553</v>
      </c>
      <c r="D15" s="185" t="s">
        <v>1544</v>
      </c>
      <c r="E15" s="175" t="s">
        <v>1473</v>
      </c>
      <c r="F15" s="175" t="s">
        <v>1473</v>
      </c>
      <c r="G15" s="173" t="s">
        <v>1473</v>
      </c>
      <c r="H15" s="173" t="s">
        <v>1473</v>
      </c>
      <c r="I15" s="173" t="s">
        <v>1473</v>
      </c>
      <c r="J15" s="173" t="s">
        <v>1473</v>
      </c>
      <c r="K15" s="174" t="s">
        <v>1473</v>
      </c>
      <c r="L15" s="175" t="s">
        <v>1473</v>
      </c>
      <c r="M15" s="173" t="s">
        <v>1473</v>
      </c>
      <c r="N15" s="175" t="s">
        <v>1473</v>
      </c>
      <c r="O15" s="173" t="s">
        <v>1473</v>
      </c>
      <c r="P15" s="174" t="s">
        <v>1473</v>
      </c>
      <c r="Q15" s="181" t="s">
        <v>1473</v>
      </c>
      <c r="R15" s="173" t="s">
        <v>1473</v>
      </c>
      <c r="S15" s="173" t="s">
        <v>1473</v>
      </c>
      <c r="T15" s="173" t="s">
        <v>1473</v>
      </c>
      <c r="U15" s="174" t="s">
        <v>1473</v>
      </c>
    </row>
    <row r="16" spans="1:21">
      <c r="A16" s="169">
        <v>14</v>
      </c>
      <c r="B16" s="179" t="s">
        <v>1558</v>
      </c>
      <c r="C16" s="171" t="s">
        <v>1553</v>
      </c>
      <c r="D16" s="186" t="s">
        <v>1544</v>
      </c>
      <c r="E16" s="175" t="s">
        <v>1473</v>
      </c>
      <c r="F16" s="175" t="s">
        <v>1473</v>
      </c>
      <c r="G16" s="173" t="s">
        <v>1473</v>
      </c>
      <c r="H16" s="173" t="s">
        <v>1473</v>
      </c>
      <c r="I16" s="173" t="s">
        <v>1473</v>
      </c>
      <c r="J16" s="173" t="s">
        <v>1473</v>
      </c>
      <c r="K16" s="174" t="s">
        <v>1473</v>
      </c>
      <c r="L16" s="168" t="s">
        <v>1538</v>
      </c>
      <c r="M16" s="166" t="s">
        <v>1538</v>
      </c>
      <c r="N16" s="175" t="s">
        <v>1538</v>
      </c>
      <c r="O16" s="173" t="s">
        <v>1473</v>
      </c>
      <c r="P16" s="174" t="s">
        <v>1473</v>
      </c>
      <c r="Q16" s="181" t="s">
        <v>1473</v>
      </c>
      <c r="R16" s="173" t="s">
        <v>1473</v>
      </c>
      <c r="S16" s="173" t="s">
        <v>1473</v>
      </c>
      <c r="T16" s="173" t="s">
        <v>1473</v>
      </c>
      <c r="U16" s="174" t="s">
        <v>1473</v>
      </c>
    </row>
    <row r="17" spans="1:21">
      <c r="A17" s="169">
        <v>15</v>
      </c>
      <c r="B17" s="179" t="s">
        <v>1559</v>
      </c>
      <c r="C17" s="171" t="s">
        <v>1553</v>
      </c>
      <c r="D17" s="178" t="s">
        <v>1544</v>
      </c>
      <c r="E17" s="175" t="s">
        <v>1473</v>
      </c>
      <c r="F17" s="175" t="s">
        <v>1473</v>
      </c>
      <c r="G17" s="173" t="s">
        <v>1473</v>
      </c>
      <c r="H17" s="173" t="s">
        <v>1473</v>
      </c>
      <c r="I17" s="173" t="s">
        <v>1473</v>
      </c>
      <c r="J17" s="173" t="s">
        <v>1473</v>
      </c>
      <c r="K17" s="174" t="s">
        <v>1473</v>
      </c>
      <c r="L17" s="168" t="s">
        <v>1538</v>
      </c>
      <c r="M17" s="166" t="s">
        <v>1538</v>
      </c>
      <c r="N17" s="175" t="s">
        <v>1538</v>
      </c>
      <c r="O17" s="173" t="s">
        <v>1473</v>
      </c>
      <c r="P17" s="174" t="s">
        <v>1473</v>
      </c>
      <c r="Q17" s="181" t="s">
        <v>1473</v>
      </c>
      <c r="R17" s="173" t="s">
        <v>1473</v>
      </c>
      <c r="S17" s="173" t="s">
        <v>1473</v>
      </c>
      <c r="T17" s="173" t="s">
        <v>1473</v>
      </c>
      <c r="U17" s="174" t="s">
        <v>1473</v>
      </c>
    </row>
    <row r="18" spans="1:21">
      <c r="A18" s="169">
        <v>16</v>
      </c>
      <c r="B18" s="179" t="s">
        <v>1560</v>
      </c>
      <c r="C18" s="171" t="s">
        <v>1553</v>
      </c>
      <c r="D18" s="178" t="s">
        <v>1555</v>
      </c>
      <c r="E18" s="175" t="s">
        <v>1473</v>
      </c>
      <c r="F18" s="175" t="s">
        <v>1473</v>
      </c>
      <c r="G18" s="173" t="s">
        <v>1473</v>
      </c>
      <c r="H18" s="173" t="s">
        <v>1473</v>
      </c>
      <c r="I18" s="173" t="s">
        <v>1473</v>
      </c>
      <c r="J18" s="173" t="s">
        <v>1473</v>
      </c>
      <c r="K18" s="174" t="s">
        <v>1473</v>
      </c>
      <c r="L18" s="168" t="s">
        <v>1538</v>
      </c>
      <c r="M18" s="166" t="s">
        <v>1538</v>
      </c>
      <c r="N18" s="175" t="s">
        <v>1473</v>
      </c>
      <c r="O18" s="173" t="s">
        <v>1473</v>
      </c>
      <c r="P18" s="174" t="s">
        <v>1473</v>
      </c>
      <c r="Q18" s="181" t="s">
        <v>1473</v>
      </c>
      <c r="R18" s="173" t="s">
        <v>1473</v>
      </c>
      <c r="S18" s="173" t="s">
        <v>1473</v>
      </c>
      <c r="T18" s="173" t="s">
        <v>1473</v>
      </c>
      <c r="U18" s="174" t="s">
        <v>1473</v>
      </c>
    </row>
    <row r="19" spans="1:21">
      <c r="A19" s="169">
        <v>17</v>
      </c>
      <c r="B19" s="187" t="s">
        <v>1561</v>
      </c>
      <c r="C19" s="171" t="s">
        <v>1553</v>
      </c>
      <c r="D19" s="172" t="s">
        <v>1537</v>
      </c>
      <c r="E19" s="168"/>
      <c r="F19" s="165"/>
      <c r="G19" s="173"/>
      <c r="H19" s="166" t="s">
        <v>1538</v>
      </c>
      <c r="I19" s="173"/>
      <c r="J19" s="173"/>
      <c r="K19" s="167" t="s">
        <v>1538</v>
      </c>
      <c r="L19" s="175" t="s">
        <v>1473</v>
      </c>
      <c r="M19" s="173" t="s">
        <v>1473</v>
      </c>
      <c r="N19" s="168" t="s">
        <v>1538</v>
      </c>
      <c r="O19" s="166" t="s">
        <v>1538</v>
      </c>
      <c r="P19" s="167" t="s">
        <v>1538</v>
      </c>
      <c r="Q19" s="165" t="s">
        <v>1538</v>
      </c>
      <c r="R19" s="166" t="s">
        <v>1538</v>
      </c>
      <c r="S19" s="166" t="s">
        <v>1538</v>
      </c>
      <c r="T19" s="166" t="s">
        <v>1538</v>
      </c>
      <c r="U19" s="167" t="s">
        <v>419</v>
      </c>
    </row>
    <row r="20" spans="1:21">
      <c r="A20" s="169">
        <v>18</v>
      </c>
      <c r="B20" s="188" t="s">
        <v>1562</v>
      </c>
      <c r="C20" s="171" t="s">
        <v>1553</v>
      </c>
      <c r="D20" s="172" t="s">
        <v>1555</v>
      </c>
      <c r="E20" s="175" t="s">
        <v>1473</v>
      </c>
      <c r="F20" s="175" t="s">
        <v>1473</v>
      </c>
      <c r="G20" s="173" t="s">
        <v>1473</v>
      </c>
      <c r="H20" s="173" t="s">
        <v>1473</v>
      </c>
      <c r="I20" s="173" t="s">
        <v>1473</v>
      </c>
      <c r="J20" s="173" t="s">
        <v>1473</v>
      </c>
      <c r="K20" s="174" t="s">
        <v>1473</v>
      </c>
      <c r="L20" s="168" t="s">
        <v>1538</v>
      </c>
      <c r="M20" s="166" t="s">
        <v>1538</v>
      </c>
      <c r="N20" s="175" t="s">
        <v>1473</v>
      </c>
      <c r="O20" s="173" t="s">
        <v>1473</v>
      </c>
      <c r="P20" s="174" t="s">
        <v>1473</v>
      </c>
      <c r="Q20" s="181" t="s">
        <v>1473</v>
      </c>
      <c r="R20" s="173" t="s">
        <v>1473</v>
      </c>
      <c r="S20" s="173" t="s">
        <v>1473</v>
      </c>
      <c r="T20" s="173" t="s">
        <v>1473</v>
      </c>
      <c r="U20" s="174" t="s">
        <v>1473</v>
      </c>
    </row>
    <row r="21" spans="1:21">
      <c r="A21" s="169">
        <v>19</v>
      </c>
      <c r="B21" s="170" t="s">
        <v>1563</v>
      </c>
      <c r="C21" s="171" t="s">
        <v>1553</v>
      </c>
      <c r="D21" s="172" t="s">
        <v>1555</v>
      </c>
      <c r="E21" s="175" t="s">
        <v>1473</v>
      </c>
      <c r="F21" s="175" t="s">
        <v>1473</v>
      </c>
      <c r="G21" s="173" t="s">
        <v>1473</v>
      </c>
      <c r="H21" s="173" t="s">
        <v>1473</v>
      </c>
      <c r="I21" s="173" t="s">
        <v>1473</v>
      </c>
      <c r="J21" s="173" t="s">
        <v>1473</v>
      </c>
      <c r="K21" s="174" t="s">
        <v>1473</v>
      </c>
      <c r="L21" s="175" t="s">
        <v>1473</v>
      </c>
      <c r="M21" s="173" t="s">
        <v>1473</v>
      </c>
      <c r="N21" s="175" t="s">
        <v>1473</v>
      </c>
      <c r="O21" s="173" t="s">
        <v>1473</v>
      </c>
      <c r="P21" s="174" t="s">
        <v>1473</v>
      </c>
      <c r="Q21" s="181" t="s">
        <v>1473</v>
      </c>
      <c r="R21" s="173" t="s">
        <v>1473</v>
      </c>
      <c r="S21" s="173" t="s">
        <v>1473</v>
      </c>
      <c r="T21" s="173" t="s">
        <v>1473</v>
      </c>
      <c r="U21" s="174" t="s">
        <v>1473</v>
      </c>
    </row>
    <row r="22" spans="1:21" ht="27.6">
      <c r="A22" s="169">
        <v>20</v>
      </c>
      <c r="B22" s="170" t="s">
        <v>1564</v>
      </c>
      <c r="C22" s="171" t="s">
        <v>1553</v>
      </c>
      <c r="D22" s="172" t="s">
        <v>1555</v>
      </c>
      <c r="E22" s="168"/>
      <c r="F22" s="165"/>
      <c r="G22" s="166" t="s">
        <v>1538</v>
      </c>
      <c r="H22" s="166" t="s">
        <v>1538</v>
      </c>
      <c r="I22" s="166" t="s">
        <v>1538</v>
      </c>
      <c r="J22" s="166" t="s">
        <v>1538</v>
      </c>
      <c r="K22" s="167" t="s">
        <v>1538</v>
      </c>
      <c r="L22" s="200" t="s">
        <v>1538</v>
      </c>
      <c r="M22" s="166" t="s">
        <v>1538</v>
      </c>
      <c r="N22" s="168" t="s">
        <v>1538</v>
      </c>
      <c r="O22" s="166" t="s">
        <v>1538</v>
      </c>
      <c r="P22" s="167" t="s">
        <v>1538</v>
      </c>
      <c r="Q22" s="165" t="s">
        <v>1538</v>
      </c>
      <c r="R22" s="166" t="s">
        <v>1538</v>
      </c>
      <c r="S22" s="166" t="s">
        <v>1538</v>
      </c>
      <c r="T22" s="166" t="s">
        <v>1538</v>
      </c>
      <c r="U22" s="167" t="s">
        <v>419</v>
      </c>
    </row>
    <row r="23" spans="1:21">
      <c r="A23" s="169">
        <v>21</v>
      </c>
      <c r="B23" s="170" t="s">
        <v>1565</v>
      </c>
      <c r="C23" s="171" t="s">
        <v>1553</v>
      </c>
      <c r="D23" s="172" t="s">
        <v>1555</v>
      </c>
      <c r="E23" s="175" t="s">
        <v>1473</v>
      </c>
      <c r="F23" s="175" t="s">
        <v>1473</v>
      </c>
      <c r="G23" s="173" t="s">
        <v>1473</v>
      </c>
      <c r="H23" s="173" t="s">
        <v>1473</v>
      </c>
      <c r="I23" s="173" t="s">
        <v>1473</v>
      </c>
      <c r="J23" s="173" t="s">
        <v>1473</v>
      </c>
      <c r="K23" s="174" t="s">
        <v>1473</v>
      </c>
      <c r="L23" s="200" t="s">
        <v>1538</v>
      </c>
      <c r="M23" s="166" t="s">
        <v>1538</v>
      </c>
      <c r="N23" s="175" t="s">
        <v>1473</v>
      </c>
      <c r="O23" s="173" t="s">
        <v>1473</v>
      </c>
      <c r="P23" s="174" t="s">
        <v>1473</v>
      </c>
      <c r="Q23" s="181" t="s">
        <v>1473</v>
      </c>
      <c r="R23" s="173" t="s">
        <v>1473</v>
      </c>
      <c r="S23" s="173" t="s">
        <v>1473</v>
      </c>
      <c r="T23" s="173" t="s">
        <v>1473</v>
      </c>
      <c r="U23" s="174" t="s">
        <v>1473</v>
      </c>
    </row>
    <row r="24" spans="1:21">
      <c r="A24" s="169">
        <v>22</v>
      </c>
      <c r="B24" s="170" t="s">
        <v>1566</v>
      </c>
      <c r="C24" s="171" t="s">
        <v>1553</v>
      </c>
      <c r="D24" s="172" t="s">
        <v>1555</v>
      </c>
      <c r="E24" s="175"/>
      <c r="F24" s="181"/>
      <c r="G24" s="173"/>
      <c r="H24" s="173"/>
      <c r="I24" s="173"/>
      <c r="J24" s="173"/>
      <c r="K24" s="174"/>
      <c r="L24" s="201"/>
      <c r="M24" s="173"/>
      <c r="N24" s="175"/>
      <c r="O24" s="173"/>
      <c r="P24" s="174"/>
      <c r="Q24" s="181"/>
      <c r="R24" s="173"/>
      <c r="S24" s="173"/>
      <c r="T24" s="173"/>
      <c r="U24" s="174"/>
    </row>
    <row r="25" spans="1:21" ht="15" thickBot="1">
      <c r="A25" s="169">
        <v>23</v>
      </c>
      <c r="B25" s="170" t="s">
        <v>1567</v>
      </c>
      <c r="C25" s="171" t="s">
        <v>1553</v>
      </c>
      <c r="D25" s="172" t="s">
        <v>1537</v>
      </c>
      <c r="E25" s="175" t="s">
        <v>1473</v>
      </c>
      <c r="F25" s="175" t="s">
        <v>1473</v>
      </c>
      <c r="G25" s="173" t="s">
        <v>1473</v>
      </c>
      <c r="H25" s="173" t="s">
        <v>1473</v>
      </c>
      <c r="I25" s="173" t="s">
        <v>1473</v>
      </c>
      <c r="J25" s="173" t="s">
        <v>1473</v>
      </c>
      <c r="K25" s="174" t="s">
        <v>1473</v>
      </c>
      <c r="L25" s="200" t="s">
        <v>1473</v>
      </c>
      <c r="M25" s="166" t="s">
        <v>1473</v>
      </c>
      <c r="N25" s="175" t="s">
        <v>1473</v>
      </c>
      <c r="O25" s="173" t="s">
        <v>1473</v>
      </c>
      <c r="P25" s="174" t="s">
        <v>1473</v>
      </c>
      <c r="Q25" s="181" t="s">
        <v>1473</v>
      </c>
      <c r="R25" s="173" t="s">
        <v>1473</v>
      </c>
      <c r="S25" s="173" t="s">
        <v>1473</v>
      </c>
      <c r="T25" s="173" t="s">
        <v>1473</v>
      </c>
      <c r="U25" s="174" t="s">
        <v>1473</v>
      </c>
    </row>
    <row r="26" spans="1:21" ht="30" customHeight="1" thickBot="1">
      <c r="A26" s="189" t="s">
        <v>1538</v>
      </c>
      <c r="B26" s="788" t="s">
        <v>1568</v>
      </c>
      <c r="C26" s="789"/>
      <c r="D26" s="790"/>
      <c r="E26" s="190">
        <v>11</v>
      </c>
      <c r="F26" s="190">
        <v>13</v>
      </c>
      <c r="G26" s="191">
        <v>12</v>
      </c>
      <c r="H26" s="191">
        <v>13</v>
      </c>
      <c r="I26" s="191">
        <v>14</v>
      </c>
      <c r="J26" s="191">
        <v>13</v>
      </c>
      <c r="K26" s="192">
        <v>13</v>
      </c>
      <c r="L26" s="190">
        <v>13</v>
      </c>
      <c r="M26" s="191">
        <v>14</v>
      </c>
      <c r="N26" s="190">
        <v>12</v>
      </c>
      <c r="O26" s="191">
        <v>10</v>
      </c>
      <c r="P26" s="192">
        <v>10</v>
      </c>
      <c r="Q26" s="378">
        <v>8</v>
      </c>
      <c r="R26" s="191">
        <v>8</v>
      </c>
      <c r="S26" s="191">
        <v>8</v>
      </c>
      <c r="T26" s="191">
        <v>7</v>
      </c>
      <c r="U26" s="192">
        <v>6</v>
      </c>
    </row>
    <row r="27" spans="1:21" ht="24" thickBot="1">
      <c r="A27" s="193" t="s">
        <v>1538</v>
      </c>
      <c r="B27" s="791" t="s">
        <v>1569</v>
      </c>
      <c r="C27" s="792"/>
      <c r="D27" s="792"/>
      <c r="E27" s="194">
        <f t="shared" ref="E27:U27" si="0">COUNTIF(E3:E25,"OK")</f>
        <v>0</v>
      </c>
      <c r="F27" s="194">
        <f t="shared" si="0"/>
        <v>0</v>
      </c>
      <c r="G27" s="195">
        <f t="shared" si="0"/>
        <v>0</v>
      </c>
      <c r="H27" s="195">
        <f t="shared" si="0"/>
        <v>0</v>
      </c>
      <c r="I27" s="195">
        <f t="shared" si="0"/>
        <v>0</v>
      </c>
      <c r="J27" s="195">
        <f t="shared" si="0"/>
        <v>0</v>
      </c>
      <c r="K27" s="196">
        <f t="shared" si="0"/>
        <v>0</v>
      </c>
      <c r="L27" s="194">
        <f t="shared" si="0"/>
        <v>0</v>
      </c>
      <c r="M27" s="195">
        <f t="shared" si="0"/>
        <v>0</v>
      </c>
      <c r="N27" s="194">
        <f t="shared" si="0"/>
        <v>0</v>
      </c>
      <c r="O27" s="195">
        <f t="shared" si="0"/>
        <v>0</v>
      </c>
      <c r="P27" s="196">
        <f t="shared" si="0"/>
        <v>0</v>
      </c>
      <c r="Q27" s="379">
        <f t="shared" si="0"/>
        <v>0</v>
      </c>
      <c r="R27" s="195">
        <f t="shared" si="0"/>
        <v>0</v>
      </c>
      <c r="S27" s="195">
        <f t="shared" si="0"/>
        <v>0</v>
      </c>
      <c r="T27" s="195">
        <f t="shared" si="0"/>
        <v>0</v>
      </c>
      <c r="U27" s="196">
        <f t="shared" si="0"/>
        <v>5</v>
      </c>
    </row>
    <row r="28" spans="1:21" ht="23.25">
      <c r="A28" s="193" t="s">
        <v>1538</v>
      </c>
      <c r="B28" s="793" t="s">
        <v>1570</v>
      </c>
      <c r="C28" s="794"/>
      <c r="D28" s="794"/>
      <c r="E28" s="197">
        <f>+E26-E27</f>
        <v>11</v>
      </c>
      <c r="F28" s="197">
        <f>+F26-F27</f>
        <v>13</v>
      </c>
      <c r="G28" s="198">
        <f t="shared" ref="G28:S28" si="1">+G26-G27</f>
        <v>12</v>
      </c>
      <c r="H28" s="198">
        <f t="shared" si="1"/>
        <v>13</v>
      </c>
      <c r="I28" s="198">
        <f t="shared" si="1"/>
        <v>14</v>
      </c>
      <c r="J28" s="198">
        <f>+J26-J27</f>
        <v>13</v>
      </c>
      <c r="K28" s="199">
        <f t="shared" si="1"/>
        <v>13</v>
      </c>
      <c r="L28" s="197">
        <f t="shared" si="1"/>
        <v>13</v>
      </c>
      <c r="M28" s="198">
        <f t="shared" si="1"/>
        <v>14</v>
      </c>
      <c r="N28" s="197">
        <f t="shared" si="1"/>
        <v>12</v>
      </c>
      <c r="O28" s="198">
        <f t="shared" si="1"/>
        <v>10</v>
      </c>
      <c r="P28" s="199">
        <f t="shared" si="1"/>
        <v>10</v>
      </c>
      <c r="Q28" s="380">
        <f t="shared" si="1"/>
        <v>8</v>
      </c>
      <c r="R28" s="198">
        <f t="shared" ref="R28" si="2">+R26-R27</f>
        <v>8</v>
      </c>
      <c r="S28" s="198">
        <f t="shared" si="1"/>
        <v>8</v>
      </c>
      <c r="T28" s="198">
        <f>+T26-T27</f>
        <v>7</v>
      </c>
      <c r="U28" s="199">
        <f>+U26-U27</f>
        <v>1</v>
      </c>
    </row>
    <row r="29" spans="1:21" ht="15">
      <c r="A29" s="156"/>
      <c r="B29" s="784" t="s">
        <v>1571</v>
      </c>
      <c r="C29" s="784"/>
      <c r="D29" s="784"/>
      <c r="E29" s="157"/>
      <c r="F29" s="157"/>
      <c r="G29" s="157"/>
      <c r="H29" s="156"/>
      <c r="I29" s="156"/>
      <c r="J29" s="156"/>
      <c r="K29" s="156"/>
      <c r="L29" s="156"/>
      <c r="M29" s="156"/>
      <c r="N29" s="156"/>
      <c r="O29" s="156"/>
      <c r="P29" s="156"/>
      <c r="Q29" s="156"/>
      <c r="R29" s="156"/>
      <c r="S29" s="156"/>
      <c r="T29" s="156"/>
      <c r="U29" s="156">
        <v>-1</v>
      </c>
    </row>
    <row r="30" spans="1:21" ht="15"/>
  </sheetData>
  <mergeCells count="8">
    <mergeCell ref="B29:D29"/>
    <mergeCell ref="Q1:U1"/>
    <mergeCell ref="B26:D26"/>
    <mergeCell ref="B27:D27"/>
    <mergeCell ref="B28:D28"/>
    <mergeCell ref="E1:K1"/>
    <mergeCell ref="L1:M1"/>
    <mergeCell ref="N1:P1"/>
  </mergeCells>
  <conditionalFormatting sqref="E1:I1048576">
    <cfRule type="containsText" dxfId="18" priority="9" operator="containsText" text="n/a">
      <formula>NOT(ISERROR(SEARCH("n/a",E1)))</formula>
    </cfRule>
  </conditionalFormatting>
  <conditionalFormatting sqref="E3:U25">
    <cfRule type="containsText" dxfId="17" priority="18" operator="containsText" text="OK">
      <formula>NOT(ISERROR(SEARCH("OK",E3)))</formula>
    </cfRule>
  </conditionalFormatting>
  <conditionalFormatting sqref="E28:U28">
    <cfRule type="cellIs" dxfId="16" priority="2" operator="greaterThan">
      <formula>0</formula>
    </cfRule>
    <cfRule type="cellIs" dxfId="15" priority="16" operator="lessThanOrEqual">
      <formula>0</formula>
    </cfRule>
  </conditionalFormatting>
  <conditionalFormatting sqref="J1:U1048576">
    <cfRule type="containsText" dxfId="14" priority="1" operator="containsText" text="N/A">
      <formula>NOT(ISERROR(SEARCH("N/A",J1)))</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CB1E-6DAC-4048-83EC-48667CCFF25A}">
  <dimension ref="A1:F166"/>
  <sheetViews>
    <sheetView topLeftCell="A142" workbookViewId="0">
      <selection activeCell="E72" sqref="E72"/>
    </sheetView>
  </sheetViews>
  <sheetFormatPr defaultRowHeight="15"/>
  <cols>
    <col min="1" max="1" width="20" bestFit="1" customWidth="1"/>
    <col min="2" max="2" width="35.28515625" customWidth="1"/>
    <col min="3" max="3" width="19.28515625" bestFit="1" customWidth="1"/>
    <col min="4" max="4" width="36.5703125" bestFit="1" customWidth="1"/>
    <col min="5" max="5" width="27.140625" bestFit="1" customWidth="1"/>
    <col min="6" max="6" width="12.140625" bestFit="1" customWidth="1"/>
  </cols>
  <sheetData>
    <row r="1" spans="1:6" ht="33.75">
      <c r="A1" s="545" t="s">
        <v>1538</v>
      </c>
      <c r="B1" s="546" t="s">
        <v>1572</v>
      </c>
      <c r="C1" s="546" t="s">
        <v>1573</v>
      </c>
      <c r="D1" s="546" t="s">
        <v>580</v>
      </c>
      <c r="E1" s="546" t="s">
        <v>1574</v>
      </c>
      <c r="F1" s="546" t="s">
        <v>1575</v>
      </c>
    </row>
    <row r="2" spans="1:6" ht="28.5">
      <c r="A2" s="547" t="s">
        <v>1576</v>
      </c>
      <c r="B2" s="548" t="s">
        <v>1577</v>
      </c>
      <c r="C2" s="549" t="s">
        <v>1578</v>
      </c>
      <c r="D2" s="548" t="s">
        <v>1579</v>
      </c>
      <c r="E2" s="550" t="s">
        <v>449</v>
      </c>
      <c r="F2" s="551">
        <v>3185074387</v>
      </c>
    </row>
    <row r="3" spans="1:6" ht="28.5">
      <c r="A3" s="547" t="s">
        <v>1576</v>
      </c>
      <c r="B3" s="548" t="s">
        <v>1580</v>
      </c>
      <c r="C3" s="549" t="s">
        <v>1578</v>
      </c>
      <c r="D3" s="548" t="s">
        <v>1581</v>
      </c>
      <c r="E3" s="550" t="s">
        <v>449</v>
      </c>
      <c r="F3" s="551">
        <v>3185074387</v>
      </c>
    </row>
    <row r="4" spans="1:6" ht="28.5">
      <c r="A4" s="547" t="s">
        <v>1576</v>
      </c>
      <c r="B4" s="548" t="s">
        <v>1582</v>
      </c>
      <c r="C4" s="549" t="s">
        <v>1578</v>
      </c>
      <c r="D4" s="548" t="s">
        <v>1583</v>
      </c>
      <c r="E4" s="550" t="s">
        <v>449</v>
      </c>
      <c r="F4" s="551">
        <v>3185074387</v>
      </c>
    </row>
    <row r="5" spans="1:6">
      <c r="A5" s="547" t="s">
        <v>1576</v>
      </c>
      <c r="B5" s="548" t="s">
        <v>1584</v>
      </c>
      <c r="C5" s="549" t="s">
        <v>1578</v>
      </c>
      <c r="D5" s="548" t="s">
        <v>1585</v>
      </c>
      <c r="E5" s="550" t="s">
        <v>449</v>
      </c>
      <c r="F5" s="551">
        <v>3185074387</v>
      </c>
    </row>
    <row r="6" spans="1:6">
      <c r="A6" s="547" t="s">
        <v>1576</v>
      </c>
      <c r="B6" s="548" t="s">
        <v>1586</v>
      </c>
      <c r="C6" s="549" t="s">
        <v>1578</v>
      </c>
      <c r="D6" s="548" t="s">
        <v>1587</v>
      </c>
      <c r="E6" s="550" t="s">
        <v>449</v>
      </c>
      <c r="F6" s="551">
        <v>3185074387</v>
      </c>
    </row>
    <row r="7" spans="1:6">
      <c r="A7" s="547" t="s">
        <v>1576</v>
      </c>
      <c r="B7" s="548" t="s">
        <v>1588</v>
      </c>
      <c r="C7" s="549" t="s">
        <v>1578</v>
      </c>
      <c r="D7" s="548" t="s">
        <v>1589</v>
      </c>
      <c r="E7" s="550" t="s">
        <v>449</v>
      </c>
      <c r="F7" s="551">
        <v>3185074387</v>
      </c>
    </row>
    <row r="8" spans="1:6">
      <c r="A8" s="547" t="s">
        <v>1576</v>
      </c>
      <c r="B8" s="548" t="s">
        <v>1590</v>
      </c>
      <c r="C8" s="549" t="s">
        <v>1578</v>
      </c>
      <c r="D8" s="548" t="s">
        <v>1591</v>
      </c>
      <c r="E8" s="550" t="s">
        <v>449</v>
      </c>
      <c r="F8" s="551">
        <v>3185074387</v>
      </c>
    </row>
    <row r="9" spans="1:6">
      <c r="A9" s="547" t="s">
        <v>1576</v>
      </c>
      <c r="B9" s="548" t="s">
        <v>1592</v>
      </c>
      <c r="C9" s="549" t="s">
        <v>1578</v>
      </c>
      <c r="D9" s="548" t="s">
        <v>1593</v>
      </c>
      <c r="E9" s="550" t="s">
        <v>449</v>
      </c>
      <c r="F9" s="551">
        <v>3185074387</v>
      </c>
    </row>
    <row r="10" spans="1:6">
      <c r="A10" s="547" t="s">
        <v>1576</v>
      </c>
      <c r="B10" s="548" t="s">
        <v>1594</v>
      </c>
      <c r="C10" s="549" t="s">
        <v>1578</v>
      </c>
      <c r="D10" s="548" t="s">
        <v>1595</v>
      </c>
      <c r="E10" s="550" t="s">
        <v>449</v>
      </c>
      <c r="F10" s="551">
        <v>3185074387</v>
      </c>
    </row>
    <row r="11" spans="1:6">
      <c r="A11" s="547" t="s">
        <v>1576</v>
      </c>
      <c r="B11" s="548" t="s">
        <v>1596</v>
      </c>
      <c r="C11" s="549" t="s">
        <v>1578</v>
      </c>
      <c r="D11" s="548" t="s">
        <v>1597</v>
      </c>
      <c r="E11" s="550" t="s">
        <v>449</v>
      </c>
      <c r="F11" s="551">
        <v>3185074387</v>
      </c>
    </row>
    <row r="12" spans="1:6" ht="28.5">
      <c r="A12" s="547" t="s">
        <v>1576</v>
      </c>
      <c r="B12" s="548" t="s">
        <v>1598</v>
      </c>
      <c r="C12" s="549" t="s">
        <v>1578</v>
      </c>
      <c r="D12" s="548" t="s">
        <v>1599</v>
      </c>
      <c r="E12" s="550" t="s">
        <v>449</v>
      </c>
      <c r="F12" s="551">
        <v>3185074387</v>
      </c>
    </row>
    <row r="13" spans="1:6" ht="43.5">
      <c r="A13" s="547" t="s">
        <v>1576</v>
      </c>
      <c r="B13" s="548" t="s">
        <v>1600</v>
      </c>
      <c r="C13" s="549" t="s">
        <v>1578</v>
      </c>
      <c r="D13" s="548" t="s">
        <v>1601</v>
      </c>
      <c r="E13" s="550" t="s">
        <v>449</v>
      </c>
      <c r="F13" s="551">
        <v>3185074387</v>
      </c>
    </row>
    <row r="14" spans="1:6">
      <c r="A14" s="547" t="s">
        <v>1576</v>
      </c>
      <c r="B14" s="548" t="s">
        <v>1602</v>
      </c>
      <c r="C14" s="549" t="s">
        <v>1578</v>
      </c>
      <c r="D14" s="548" t="s">
        <v>1603</v>
      </c>
      <c r="E14" s="550" t="s">
        <v>449</v>
      </c>
      <c r="F14" s="551">
        <v>3185074387</v>
      </c>
    </row>
    <row r="15" spans="1:6">
      <c r="A15" s="547" t="s">
        <v>1576</v>
      </c>
      <c r="B15" s="548" t="s">
        <v>1604</v>
      </c>
      <c r="C15" s="549" t="s">
        <v>1578</v>
      </c>
      <c r="D15" s="548" t="s">
        <v>1605</v>
      </c>
      <c r="E15" s="550" t="s">
        <v>449</v>
      </c>
      <c r="F15" s="551">
        <v>3185074387</v>
      </c>
    </row>
    <row r="16" spans="1:6">
      <c r="A16" s="547" t="s">
        <v>1576</v>
      </c>
      <c r="B16" s="548" t="s">
        <v>1606</v>
      </c>
      <c r="C16" s="549" t="s">
        <v>1578</v>
      </c>
      <c r="D16" s="548" t="s">
        <v>1607</v>
      </c>
      <c r="E16" s="550" t="s">
        <v>449</v>
      </c>
      <c r="F16" s="551">
        <v>3185074387</v>
      </c>
    </row>
    <row r="17" spans="1:6">
      <c r="A17" s="547" t="s">
        <v>1576</v>
      </c>
      <c r="B17" s="548" t="s">
        <v>1608</v>
      </c>
      <c r="C17" s="549" t="s">
        <v>1578</v>
      </c>
      <c r="D17" s="548" t="s">
        <v>1609</v>
      </c>
      <c r="E17" s="550" t="s">
        <v>449</v>
      </c>
      <c r="F17" s="551">
        <v>3185074387</v>
      </c>
    </row>
    <row r="18" spans="1:6">
      <c r="A18" s="547" t="s">
        <v>1576</v>
      </c>
      <c r="B18" s="548" t="s">
        <v>1610</v>
      </c>
      <c r="C18" s="549" t="s">
        <v>1578</v>
      </c>
      <c r="D18" s="548" t="s">
        <v>1611</v>
      </c>
      <c r="E18" s="550" t="s">
        <v>449</v>
      </c>
      <c r="F18" s="551">
        <v>3185074387</v>
      </c>
    </row>
    <row r="19" spans="1:6">
      <c r="A19" s="547" t="s">
        <v>1576</v>
      </c>
      <c r="B19" s="548" t="s">
        <v>1612</v>
      </c>
      <c r="C19" s="549" t="s">
        <v>1578</v>
      </c>
      <c r="D19" s="548" t="s">
        <v>1613</v>
      </c>
      <c r="E19" s="550" t="s">
        <v>449</v>
      </c>
      <c r="F19" s="551">
        <v>3185074387</v>
      </c>
    </row>
    <row r="20" spans="1:6">
      <c r="A20" s="547" t="s">
        <v>1576</v>
      </c>
      <c r="B20" s="548" t="s">
        <v>1614</v>
      </c>
      <c r="C20" s="549" t="s">
        <v>1578</v>
      </c>
      <c r="D20" s="548" t="s">
        <v>1615</v>
      </c>
      <c r="E20" s="550" t="s">
        <v>449</v>
      </c>
      <c r="F20" s="551">
        <v>3185074387</v>
      </c>
    </row>
    <row r="21" spans="1:6">
      <c r="A21" s="547" t="s">
        <v>1576</v>
      </c>
      <c r="B21" s="548" t="s">
        <v>1616</v>
      </c>
      <c r="C21" s="549" t="s">
        <v>1578</v>
      </c>
      <c r="D21" s="548" t="s">
        <v>1617</v>
      </c>
      <c r="E21" s="550" t="s">
        <v>449</v>
      </c>
      <c r="F21" s="551">
        <v>3185074387</v>
      </c>
    </row>
    <row r="22" spans="1:6">
      <c r="A22" s="547" t="s">
        <v>1576</v>
      </c>
      <c r="B22" s="548" t="s">
        <v>1618</v>
      </c>
      <c r="C22" s="549" t="s">
        <v>1578</v>
      </c>
      <c r="D22" s="548" t="s">
        <v>1619</v>
      </c>
      <c r="E22" s="550" t="s">
        <v>449</v>
      </c>
      <c r="F22" s="551">
        <v>3185074387</v>
      </c>
    </row>
    <row r="23" spans="1:6" ht="28.5">
      <c r="A23" s="547" t="s">
        <v>1576</v>
      </c>
      <c r="B23" s="548" t="s">
        <v>1620</v>
      </c>
      <c r="C23" s="549" t="s">
        <v>1578</v>
      </c>
      <c r="D23" s="548" t="s">
        <v>1621</v>
      </c>
      <c r="E23" s="550" t="s">
        <v>449</v>
      </c>
      <c r="F23" s="551">
        <v>3185074387</v>
      </c>
    </row>
    <row r="24" spans="1:6">
      <c r="A24" s="547" t="s">
        <v>1576</v>
      </c>
      <c r="B24" s="548" t="s">
        <v>1622</v>
      </c>
      <c r="C24" s="549" t="s">
        <v>1578</v>
      </c>
      <c r="D24" s="548" t="s">
        <v>1623</v>
      </c>
      <c r="E24" s="550" t="s">
        <v>449</v>
      </c>
      <c r="F24" s="551">
        <v>3185074387</v>
      </c>
    </row>
    <row r="25" spans="1:6">
      <c r="A25" s="547" t="s">
        <v>1576</v>
      </c>
      <c r="B25" s="548" t="s">
        <v>1624</v>
      </c>
      <c r="C25" s="549" t="s">
        <v>1578</v>
      </c>
      <c r="D25" s="548" t="s">
        <v>1625</v>
      </c>
      <c r="E25" s="550" t="s">
        <v>449</v>
      </c>
      <c r="F25" s="551">
        <v>3185074387</v>
      </c>
    </row>
    <row r="26" spans="1:6">
      <c r="A26" s="547" t="s">
        <v>1576</v>
      </c>
      <c r="B26" s="548" t="s">
        <v>1626</v>
      </c>
      <c r="C26" s="549" t="s">
        <v>1578</v>
      </c>
      <c r="D26" s="548" t="s">
        <v>1627</v>
      </c>
      <c r="E26" s="550" t="s">
        <v>449</v>
      </c>
      <c r="F26" s="551">
        <v>3185074387</v>
      </c>
    </row>
    <row r="27" spans="1:6">
      <c r="A27" s="547" t="s">
        <v>1576</v>
      </c>
      <c r="B27" s="548" t="s">
        <v>1628</v>
      </c>
      <c r="C27" s="549" t="s">
        <v>1578</v>
      </c>
      <c r="D27" s="548" t="s">
        <v>1629</v>
      </c>
      <c r="E27" s="550" t="s">
        <v>449</v>
      </c>
      <c r="F27" s="551">
        <v>3185074387</v>
      </c>
    </row>
    <row r="28" spans="1:6">
      <c r="A28" s="547" t="s">
        <v>1576</v>
      </c>
      <c r="B28" s="548" t="s">
        <v>1630</v>
      </c>
      <c r="C28" s="549" t="s">
        <v>1578</v>
      </c>
      <c r="D28" s="548" t="s">
        <v>1631</v>
      </c>
      <c r="E28" s="550" t="s">
        <v>449</v>
      </c>
      <c r="F28" s="551">
        <v>3185074387</v>
      </c>
    </row>
    <row r="29" spans="1:6">
      <c r="A29" s="547" t="s">
        <v>1576</v>
      </c>
      <c r="B29" s="548" t="s">
        <v>1632</v>
      </c>
      <c r="C29" s="549" t="s">
        <v>1578</v>
      </c>
      <c r="D29" s="548" t="s">
        <v>1633</v>
      </c>
      <c r="E29" s="550" t="s">
        <v>449</v>
      </c>
      <c r="F29" s="551">
        <v>3185074387</v>
      </c>
    </row>
    <row r="30" spans="1:6">
      <c r="A30" s="547" t="s">
        <v>1576</v>
      </c>
      <c r="B30" s="548" t="s">
        <v>1634</v>
      </c>
      <c r="C30" s="549" t="s">
        <v>1578</v>
      </c>
      <c r="D30" s="548" t="s">
        <v>1635</v>
      </c>
      <c r="E30" s="550" t="s">
        <v>449</v>
      </c>
      <c r="F30" s="551">
        <v>3185074387</v>
      </c>
    </row>
    <row r="31" spans="1:6">
      <c r="A31" s="547" t="s">
        <v>1576</v>
      </c>
      <c r="B31" s="548" t="s">
        <v>1636</v>
      </c>
      <c r="C31" s="549" t="s">
        <v>1578</v>
      </c>
      <c r="D31" s="548" t="s">
        <v>1637</v>
      </c>
      <c r="E31" s="550" t="s">
        <v>449</v>
      </c>
      <c r="F31" s="551">
        <v>3185074387</v>
      </c>
    </row>
    <row r="32" spans="1:6">
      <c r="A32" s="547" t="s">
        <v>1576</v>
      </c>
      <c r="B32" s="548" t="s">
        <v>1638</v>
      </c>
      <c r="C32" s="549" t="s">
        <v>1578</v>
      </c>
      <c r="D32" s="548" t="s">
        <v>1639</v>
      </c>
      <c r="E32" s="550" t="s">
        <v>449</v>
      </c>
      <c r="F32" s="551">
        <v>3185074387</v>
      </c>
    </row>
    <row r="33" spans="1:6">
      <c r="A33" s="547" t="s">
        <v>1576</v>
      </c>
      <c r="B33" s="548" t="s">
        <v>1640</v>
      </c>
      <c r="C33" s="549" t="s">
        <v>1578</v>
      </c>
      <c r="D33" s="548" t="s">
        <v>1641</v>
      </c>
      <c r="E33" s="550" t="s">
        <v>449</v>
      </c>
      <c r="F33" s="551">
        <v>3185074387</v>
      </c>
    </row>
    <row r="34" spans="1:6">
      <c r="A34" s="547" t="s">
        <v>1576</v>
      </c>
      <c r="B34" s="548" t="s">
        <v>1642</v>
      </c>
      <c r="C34" s="549" t="s">
        <v>1578</v>
      </c>
      <c r="D34" s="548" t="s">
        <v>1643</v>
      </c>
      <c r="E34" s="550" t="s">
        <v>449</v>
      </c>
      <c r="F34" s="551">
        <v>3185074387</v>
      </c>
    </row>
    <row r="35" spans="1:6" ht="28.5">
      <c r="A35" s="547" t="s">
        <v>1576</v>
      </c>
      <c r="B35" s="548" t="s">
        <v>1644</v>
      </c>
      <c r="C35" s="549" t="s">
        <v>1578</v>
      </c>
      <c r="D35" s="548" t="s">
        <v>1645</v>
      </c>
      <c r="E35" s="550" t="s">
        <v>449</v>
      </c>
      <c r="F35" s="551">
        <v>3185074387</v>
      </c>
    </row>
    <row r="36" spans="1:6">
      <c r="A36" s="547" t="s">
        <v>1576</v>
      </c>
      <c r="B36" s="548" t="s">
        <v>1646</v>
      </c>
      <c r="C36" s="549" t="s">
        <v>1578</v>
      </c>
      <c r="D36" s="548" t="s">
        <v>1647</v>
      </c>
      <c r="E36" s="550" t="s">
        <v>449</v>
      </c>
      <c r="F36" s="551">
        <v>3185074387</v>
      </c>
    </row>
    <row r="37" spans="1:6">
      <c r="A37" s="547" t="s">
        <v>1576</v>
      </c>
      <c r="B37" s="548" t="s">
        <v>1648</v>
      </c>
      <c r="C37" s="549" t="s">
        <v>1578</v>
      </c>
      <c r="D37" s="548" t="s">
        <v>1649</v>
      </c>
      <c r="E37" s="550" t="s">
        <v>449</v>
      </c>
      <c r="F37" s="551">
        <v>3185074387</v>
      </c>
    </row>
    <row r="38" spans="1:6">
      <c r="A38" s="547" t="s">
        <v>1576</v>
      </c>
      <c r="B38" s="548" t="s">
        <v>1650</v>
      </c>
      <c r="C38" s="549" t="s">
        <v>1578</v>
      </c>
      <c r="D38" s="548" t="s">
        <v>1651</v>
      </c>
      <c r="E38" s="550" t="s">
        <v>449</v>
      </c>
      <c r="F38" s="551">
        <v>3185074387</v>
      </c>
    </row>
    <row r="39" spans="1:6" ht="28.5">
      <c r="A39" s="547" t="s">
        <v>1576</v>
      </c>
      <c r="B39" s="548" t="s">
        <v>1652</v>
      </c>
      <c r="C39" s="549" t="s">
        <v>1578</v>
      </c>
      <c r="D39" s="548" t="s">
        <v>1653</v>
      </c>
      <c r="E39" s="550" t="s">
        <v>449</v>
      </c>
      <c r="F39" s="551">
        <v>3185074387</v>
      </c>
    </row>
    <row r="40" spans="1:6">
      <c r="A40" s="547" t="s">
        <v>1576</v>
      </c>
      <c r="B40" s="548" t="s">
        <v>1654</v>
      </c>
      <c r="C40" s="549" t="s">
        <v>1578</v>
      </c>
      <c r="D40" s="548" t="s">
        <v>1655</v>
      </c>
      <c r="E40" s="550" t="s">
        <v>449</v>
      </c>
      <c r="F40" s="551">
        <v>3185074387</v>
      </c>
    </row>
    <row r="41" spans="1:6" ht="28.5">
      <c r="A41" s="547" t="s">
        <v>1576</v>
      </c>
      <c r="B41" s="548" t="s">
        <v>1656</v>
      </c>
      <c r="C41" s="549" t="s">
        <v>1578</v>
      </c>
      <c r="D41" s="548" t="s">
        <v>1657</v>
      </c>
      <c r="E41" s="550" t="s">
        <v>449</v>
      </c>
      <c r="F41" s="551">
        <v>3185074387</v>
      </c>
    </row>
    <row r="42" spans="1:6">
      <c r="A42" s="547" t="s">
        <v>1576</v>
      </c>
      <c r="B42" s="548" t="s">
        <v>1658</v>
      </c>
      <c r="C42" s="549" t="s">
        <v>1578</v>
      </c>
      <c r="D42" s="548" t="s">
        <v>1659</v>
      </c>
      <c r="E42" s="550" t="s">
        <v>449</v>
      </c>
      <c r="F42" s="551">
        <v>3185074387</v>
      </c>
    </row>
    <row r="43" spans="1:6">
      <c r="A43" s="547" t="s">
        <v>1576</v>
      </c>
      <c r="B43" s="548" t="s">
        <v>1660</v>
      </c>
      <c r="C43" s="549" t="s">
        <v>1578</v>
      </c>
      <c r="D43" s="548" t="s">
        <v>1661</v>
      </c>
      <c r="E43" s="550" t="s">
        <v>449</v>
      </c>
      <c r="F43" s="551">
        <v>3185074387</v>
      </c>
    </row>
    <row r="44" spans="1:6" ht="43.5">
      <c r="A44" s="547" t="s">
        <v>1576</v>
      </c>
      <c r="B44" s="548" t="s">
        <v>1662</v>
      </c>
      <c r="C44" s="549" t="s">
        <v>1578</v>
      </c>
      <c r="D44" s="548" t="s">
        <v>1663</v>
      </c>
      <c r="E44" s="550" t="s">
        <v>449</v>
      </c>
      <c r="F44" s="551">
        <v>3185074387</v>
      </c>
    </row>
    <row r="45" spans="1:6" ht="28.5">
      <c r="A45" s="547" t="s">
        <v>1576</v>
      </c>
      <c r="B45" s="548" t="s">
        <v>1664</v>
      </c>
      <c r="C45" s="549" t="s">
        <v>1578</v>
      </c>
      <c r="D45" s="548" t="s">
        <v>1665</v>
      </c>
      <c r="E45" s="550" t="s">
        <v>449</v>
      </c>
      <c r="F45" s="551">
        <v>3185074387</v>
      </c>
    </row>
    <row r="46" spans="1:6">
      <c r="A46" s="547" t="s">
        <v>1576</v>
      </c>
      <c r="B46" s="548" t="s">
        <v>1666</v>
      </c>
      <c r="C46" s="549" t="s">
        <v>1578</v>
      </c>
      <c r="D46" s="548" t="s">
        <v>1667</v>
      </c>
      <c r="E46" s="550" t="s">
        <v>449</v>
      </c>
      <c r="F46" s="551">
        <v>3185074387</v>
      </c>
    </row>
    <row r="47" spans="1:6">
      <c r="A47" s="547" t="s">
        <v>1576</v>
      </c>
      <c r="B47" s="548" t="s">
        <v>1668</v>
      </c>
      <c r="C47" s="549" t="s">
        <v>1578</v>
      </c>
      <c r="D47" s="548" t="s">
        <v>1669</v>
      </c>
      <c r="E47" s="550" t="s">
        <v>449</v>
      </c>
      <c r="F47" s="551">
        <v>3185074387</v>
      </c>
    </row>
    <row r="48" spans="1:6">
      <c r="A48" s="547" t="s">
        <v>1576</v>
      </c>
      <c r="B48" s="548" t="s">
        <v>1670</v>
      </c>
      <c r="C48" s="549" t="s">
        <v>1578</v>
      </c>
      <c r="D48" s="548" t="s">
        <v>1421</v>
      </c>
      <c r="E48" s="550" t="s">
        <v>449</v>
      </c>
      <c r="F48" s="551">
        <v>3185074387</v>
      </c>
    </row>
    <row r="49" spans="1:6">
      <c r="A49" s="547" t="s">
        <v>1576</v>
      </c>
      <c r="B49" s="548" t="s">
        <v>1671</v>
      </c>
      <c r="C49" s="549" t="s">
        <v>1578</v>
      </c>
      <c r="D49" s="548" t="s">
        <v>1672</v>
      </c>
      <c r="E49" s="550" t="s">
        <v>449</v>
      </c>
      <c r="F49" s="551">
        <v>3185074387</v>
      </c>
    </row>
    <row r="50" spans="1:6">
      <c r="A50" s="547" t="s">
        <v>1576</v>
      </c>
      <c r="B50" s="548" t="s">
        <v>1673</v>
      </c>
      <c r="C50" s="549" t="s">
        <v>1578</v>
      </c>
      <c r="D50" s="548" t="s">
        <v>1674</v>
      </c>
      <c r="E50" s="550" t="s">
        <v>449</v>
      </c>
      <c r="F50" s="551">
        <v>3185074387</v>
      </c>
    </row>
    <row r="51" spans="1:6" ht="28.5">
      <c r="A51" s="547" t="s">
        <v>1576</v>
      </c>
      <c r="B51" s="548" t="s">
        <v>1675</v>
      </c>
      <c r="C51" s="549" t="s">
        <v>1578</v>
      </c>
      <c r="D51" s="548" t="s">
        <v>1676</v>
      </c>
      <c r="E51" s="550" t="s">
        <v>449</v>
      </c>
      <c r="F51" s="551">
        <v>3185074387</v>
      </c>
    </row>
    <row r="52" spans="1:6">
      <c r="A52" s="547" t="s">
        <v>1576</v>
      </c>
      <c r="B52" s="548" t="s">
        <v>1677</v>
      </c>
      <c r="C52" s="549" t="s">
        <v>1578</v>
      </c>
      <c r="D52" s="548" t="s">
        <v>1678</v>
      </c>
      <c r="E52" s="550" t="s">
        <v>449</v>
      </c>
      <c r="F52" s="551">
        <v>3185074387</v>
      </c>
    </row>
    <row r="53" spans="1:6" ht="28.5">
      <c r="A53" s="547" t="s">
        <v>1576</v>
      </c>
      <c r="B53" s="548" t="s">
        <v>1679</v>
      </c>
      <c r="C53" s="549" t="s">
        <v>1578</v>
      </c>
      <c r="D53" s="548" t="s">
        <v>1680</v>
      </c>
      <c r="E53" s="550" t="s">
        <v>449</v>
      </c>
      <c r="F53" s="551">
        <v>3185074387</v>
      </c>
    </row>
    <row r="54" spans="1:6" ht="28.5">
      <c r="A54" s="547" t="s">
        <v>1576</v>
      </c>
      <c r="B54" s="548" t="s">
        <v>1681</v>
      </c>
      <c r="C54" s="549" t="s">
        <v>1578</v>
      </c>
      <c r="D54" s="548" t="s">
        <v>1682</v>
      </c>
      <c r="E54" s="550" t="s">
        <v>449</v>
      </c>
      <c r="F54" s="551">
        <v>3185074387</v>
      </c>
    </row>
    <row r="55" spans="1:6" ht="28.5">
      <c r="A55" s="547" t="s">
        <v>1576</v>
      </c>
      <c r="B55" s="548" t="s">
        <v>1683</v>
      </c>
      <c r="C55" s="549" t="s">
        <v>1578</v>
      </c>
      <c r="D55" s="583" t="s">
        <v>1684</v>
      </c>
      <c r="E55" s="550" t="s">
        <v>449</v>
      </c>
      <c r="F55" s="551">
        <v>3185074387</v>
      </c>
    </row>
    <row r="56" spans="1:6">
      <c r="A56" s="547" t="s">
        <v>1576</v>
      </c>
      <c r="B56" s="548" t="s">
        <v>1685</v>
      </c>
      <c r="C56" s="549" t="s">
        <v>1578</v>
      </c>
      <c r="D56" s="548" t="s">
        <v>1538</v>
      </c>
      <c r="E56" s="550" t="s">
        <v>449</v>
      </c>
      <c r="F56" s="551">
        <v>3185074387</v>
      </c>
    </row>
    <row r="57" spans="1:6">
      <c r="A57" s="547" t="s">
        <v>1576</v>
      </c>
      <c r="B57" s="548" t="s">
        <v>1686</v>
      </c>
      <c r="C57" s="552" t="s">
        <v>1578</v>
      </c>
      <c r="D57" s="583" t="s">
        <v>1687</v>
      </c>
      <c r="E57" s="550" t="s">
        <v>449</v>
      </c>
      <c r="F57" s="551">
        <v>3185074387</v>
      </c>
    </row>
    <row r="58" spans="1:6">
      <c r="A58" s="547" t="s">
        <v>1576</v>
      </c>
      <c r="B58" s="548" t="s">
        <v>1688</v>
      </c>
      <c r="C58" s="552" t="s">
        <v>1578</v>
      </c>
      <c r="D58" s="583" t="s">
        <v>1689</v>
      </c>
      <c r="E58" s="550" t="s">
        <v>449</v>
      </c>
      <c r="F58" s="551">
        <v>3185074387</v>
      </c>
    </row>
    <row r="59" spans="1:6">
      <c r="A59" s="547" t="s">
        <v>1576</v>
      </c>
      <c r="B59" s="548" t="s">
        <v>1690</v>
      </c>
      <c r="C59" s="549" t="s">
        <v>1578</v>
      </c>
      <c r="D59" s="548" t="s">
        <v>1691</v>
      </c>
      <c r="E59" s="550" t="s">
        <v>449</v>
      </c>
      <c r="F59" s="551">
        <v>3185074387</v>
      </c>
    </row>
    <row r="60" spans="1:6">
      <c r="A60" s="547" t="s">
        <v>1576</v>
      </c>
      <c r="B60" s="548" t="s">
        <v>1692</v>
      </c>
      <c r="C60" s="549" t="s">
        <v>1578</v>
      </c>
      <c r="D60" s="548" t="s">
        <v>1693</v>
      </c>
      <c r="E60" s="550" t="s">
        <v>449</v>
      </c>
      <c r="F60" s="551">
        <v>3185074387</v>
      </c>
    </row>
    <row r="61" spans="1:6">
      <c r="A61" s="547" t="s">
        <v>1576</v>
      </c>
      <c r="B61" s="548" t="s">
        <v>1694</v>
      </c>
      <c r="C61" s="549" t="s">
        <v>1578</v>
      </c>
      <c r="D61" s="548" t="s">
        <v>1695</v>
      </c>
      <c r="E61" s="550" t="s">
        <v>449</v>
      </c>
      <c r="F61" s="551">
        <v>3185074387</v>
      </c>
    </row>
    <row r="62" spans="1:6">
      <c r="A62" s="547" t="s">
        <v>1576</v>
      </c>
      <c r="B62" s="548" t="s">
        <v>1696</v>
      </c>
      <c r="C62" s="549" t="s">
        <v>1578</v>
      </c>
      <c r="D62" s="548" t="s">
        <v>842</v>
      </c>
      <c r="E62" s="550" t="s">
        <v>449</v>
      </c>
      <c r="F62" s="551">
        <v>3185074387</v>
      </c>
    </row>
    <row r="63" spans="1:6">
      <c r="A63" s="547" t="s">
        <v>1576</v>
      </c>
      <c r="B63" s="548" t="s">
        <v>1697</v>
      </c>
      <c r="C63" s="549" t="s">
        <v>1578</v>
      </c>
      <c r="D63" s="548" t="s">
        <v>1698</v>
      </c>
      <c r="E63" s="550" t="s">
        <v>449</v>
      </c>
      <c r="F63" s="551">
        <v>3185074387</v>
      </c>
    </row>
    <row r="64" spans="1:6">
      <c r="A64" s="547" t="s">
        <v>1576</v>
      </c>
      <c r="B64" s="548" t="s">
        <v>1699</v>
      </c>
      <c r="C64" s="549" t="s">
        <v>1578</v>
      </c>
      <c r="D64" s="548" t="s">
        <v>1700</v>
      </c>
      <c r="E64" s="550" t="s">
        <v>449</v>
      </c>
      <c r="F64" s="551">
        <v>3185074387</v>
      </c>
    </row>
    <row r="65" spans="1:6">
      <c r="A65" s="547" t="s">
        <v>1576</v>
      </c>
      <c r="B65" s="548" t="s">
        <v>1701</v>
      </c>
      <c r="C65" s="552" t="s">
        <v>1578</v>
      </c>
      <c r="D65" s="583" t="s">
        <v>1702</v>
      </c>
      <c r="E65" s="550" t="s">
        <v>449</v>
      </c>
      <c r="F65" s="551">
        <v>3185074387</v>
      </c>
    </row>
    <row r="66" spans="1:6">
      <c r="A66" s="547" t="s">
        <v>1576</v>
      </c>
      <c r="B66" s="548" t="s">
        <v>1703</v>
      </c>
      <c r="C66" s="549" t="s">
        <v>1578</v>
      </c>
      <c r="D66" s="548" t="s">
        <v>1704</v>
      </c>
      <c r="E66" s="550" t="s">
        <v>449</v>
      </c>
      <c r="F66" s="551">
        <v>3185074387</v>
      </c>
    </row>
    <row r="67" spans="1:6">
      <c r="A67" s="547" t="s">
        <v>1576</v>
      </c>
      <c r="B67" s="548" t="s">
        <v>1705</v>
      </c>
      <c r="C67" s="549" t="s">
        <v>1578</v>
      </c>
      <c r="D67" s="583" t="s">
        <v>1706</v>
      </c>
      <c r="E67" s="550" t="s">
        <v>449</v>
      </c>
      <c r="F67" s="551">
        <v>3185074387</v>
      </c>
    </row>
    <row r="68" spans="1:6">
      <c r="A68" s="547" t="s">
        <v>1576</v>
      </c>
      <c r="B68" s="548" t="s">
        <v>1707</v>
      </c>
      <c r="C68" s="549" t="s">
        <v>1578</v>
      </c>
      <c r="D68" s="583" t="s">
        <v>1538</v>
      </c>
      <c r="E68" s="550" t="s">
        <v>449</v>
      </c>
      <c r="F68" s="551">
        <v>3185074387</v>
      </c>
    </row>
    <row r="69" spans="1:6">
      <c r="A69" s="553" t="s">
        <v>74</v>
      </c>
      <c r="B69" s="554" t="s">
        <v>1708</v>
      </c>
      <c r="C69" s="555" t="s">
        <v>1578</v>
      </c>
      <c r="D69" s="554" t="s">
        <v>1301</v>
      </c>
      <c r="E69" s="556" t="s">
        <v>1709</v>
      </c>
      <c r="F69" s="557" t="s">
        <v>825</v>
      </c>
    </row>
    <row r="70" spans="1:6" ht="43.5">
      <c r="A70" s="553" t="s">
        <v>74</v>
      </c>
      <c r="B70" s="554" t="s">
        <v>1710</v>
      </c>
      <c r="C70" s="555" t="s">
        <v>1578</v>
      </c>
      <c r="D70" s="554" t="s">
        <v>1711</v>
      </c>
      <c r="E70" s="556" t="s">
        <v>1709</v>
      </c>
      <c r="F70" s="557" t="s">
        <v>825</v>
      </c>
    </row>
    <row r="71" spans="1:6">
      <c r="A71" s="553" t="s">
        <v>74</v>
      </c>
      <c r="B71" s="554" t="s">
        <v>1712</v>
      </c>
      <c r="C71" s="555" t="s">
        <v>1578</v>
      </c>
      <c r="D71" s="554" t="s">
        <v>1713</v>
      </c>
      <c r="E71" s="556" t="s">
        <v>1709</v>
      </c>
      <c r="F71" s="557" t="s">
        <v>825</v>
      </c>
    </row>
    <row r="72" spans="1:6">
      <c r="A72" s="558" t="s">
        <v>74</v>
      </c>
      <c r="B72" s="559" t="s">
        <v>1714</v>
      </c>
      <c r="C72" s="560" t="s">
        <v>1578</v>
      </c>
      <c r="D72" s="559" t="s">
        <v>1715</v>
      </c>
      <c r="E72" s="561" t="s">
        <v>1716</v>
      </c>
      <c r="F72" s="562" t="s">
        <v>1538</v>
      </c>
    </row>
    <row r="73" spans="1:6">
      <c r="A73" s="553" t="s">
        <v>74</v>
      </c>
      <c r="B73" s="554" t="s">
        <v>1717</v>
      </c>
      <c r="C73" s="555" t="s">
        <v>1578</v>
      </c>
      <c r="D73" s="554" t="s">
        <v>1718</v>
      </c>
      <c r="E73" s="556" t="s">
        <v>1709</v>
      </c>
      <c r="F73" s="557" t="s">
        <v>825</v>
      </c>
    </row>
    <row r="74" spans="1:6" ht="28.5">
      <c r="A74" s="558" t="s">
        <v>74</v>
      </c>
      <c r="B74" s="559" t="s">
        <v>141</v>
      </c>
      <c r="C74" s="560" t="s">
        <v>1578</v>
      </c>
      <c r="D74" s="559" t="s">
        <v>1719</v>
      </c>
      <c r="E74" s="561" t="s">
        <v>1716</v>
      </c>
      <c r="F74" s="562" t="s">
        <v>1538</v>
      </c>
    </row>
    <row r="75" spans="1:6">
      <c r="A75" s="563" t="s">
        <v>74</v>
      </c>
      <c r="B75" s="564" t="s">
        <v>1720</v>
      </c>
      <c r="C75" s="565" t="s">
        <v>1578</v>
      </c>
      <c r="D75" s="564" t="s">
        <v>1538</v>
      </c>
      <c r="E75" s="566" t="s">
        <v>1721</v>
      </c>
      <c r="F75" s="567" t="s">
        <v>880</v>
      </c>
    </row>
    <row r="76" spans="1:6">
      <c r="A76" s="568" t="s">
        <v>256</v>
      </c>
      <c r="B76" s="569" t="s">
        <v>122</v>
      </c>
      <c r="C76" s="570" t="s">
        <v>1578</v>
      </c>
      <c r="D76" s="569" t="s">
        <v>663</v>
      </c>
      <c r="E76" s="571" t="s">
        <v>428</v>
      </c>
      <c r="F76" s="572" t="s">
        <v>1722</v>
      </c>
    </row>
    <row r="77" spans="1:6">
      <c r="A77" s="568" t="s">
        <v>256</v>
      </c>
      <c r="B77" s="569" t="s">
        <v>1723</v>
      </c>
      <c r="C77" s="570" t="s">
        <v>1578</v>
      </c>
      <c r="D77" s="569" t="s">
        <v>668</v>
      </c>
      <c r="E77" s="571" t="s">
        <v>428</v>
      </c>
      <c r="F77" s="572" t="s">
        <v>1722</v>
      </c>
    </row>
    <row r="78" spans="1:6">
      <c r="A78" s="568" t="s">
        <v>256</v>
      </c>
      <c r="B78" s="569" t="s">
        <v>1724</v>
      </c>
      <c r="C78" s="570" t="s">
        <v>1578</v>
      </c>
      <c r="D78" s="569" t="s">
        <v>1725</v>
      </c>
      <c r="E78" s="571" t="s">
        <v>428</v>
      </c>
      <c r="F78" s="572" t="s">
        <v>1722</v>
      </c>
    </row>
    <row r="79" spans="1:6">
      <c r="A79" s="568" t="s">
        <v>256</v>
      </c>
      <c r="B79" s="569" t="s">
        <v>1726</v>
      </c>
      <c r="C79" s="570" t="s">
        <v>1578</v>
      </c>
      <c r="D79" s="569" t="s">
        <v>1727</v>
      </c>
      <c r="E79" s="571" t="s">
        <v>428</v>
      </c>
      <c r="F79" s="572" t="s">
        <v>1722</v>
      </c>
    </row>
    <row r="80" spans="1:6">
      <c r="A80" s="568" t="s">
        <v>256</v>
      </c>
      <c r="B80" s="569" t="s">
        <v>108</v>
      </c>
      <c r="C80" s="570" t="s">
        <v>1578</v>
      </c>
      <c r="D80" s="569" t="s">
        <v>1728</v>
      </c>
      <c r="E80" s="571" t="s">
        <v>428</v>
      </c>
      <c r="F80" s="572" t="s">
        <v>1722</v>
      </c>
    </row>
    <row r="81" spans="1:6">
      <c r="A81" s="563" t="s">
        <v>256</v>
      </c>
      <c r="B81" s="564" t="s">
        <v>1729</v>
      </c>
      <c r="C81" s="573" t="s">
        <v>1578</v>
      </c>
      <c r="D81" s="574" t="s">
        <v>589</v>
      </c>
      <c r="E81" s="566" t="s">
        <v>1721</v>
      </c>
      <c r="F81" s="567" t="s">
        <v>880</v>
      </c>
    </row>
    <row r="82" spans="1:6">
      <c r="A82" s="568" t="s">
        <v>256</v>
      </c>
      <c r="B82" s="569" t="s">
        <v>1730</v>
      </c>
      <c r="C82" s="570" t="s">
        <v>1578</v>
      </c>
      <c r="D82" s="569" t="s">
        <v>1731</v>
      </c>
      <c r="E82" s="571" t="s">
        <v>428</v>
      </c>
      <c r="F82" s="572" t="s">
        <v>1722</v>
      </c>
    </row>
    <row r="83" spans="1:6">
      <c r="A83" s="568" t="s">
        <v>256</v>
      </c>
      <c r="B83" s="575" t="s">
        <v>1732</v>
      </c>
      <c r="C83" s="576" t="s">
        <v>1578</v>
      </c>
      <c r="D83" s="575" t="s">
        <v>1733</v>
      </c>
      <c r="E83" s="571" t="s">
        <v>428</v>
      </c>
      <c r="F83" s="572" t="s">
        <v>1722</v>
      </c>
    </row>
    <row r="84" spans="1:6">
      <c r="A84" s="577" t="s">
        <v>1734</v>
      </c>
      <c r="B84" s="578" t="s">
        <v>1735</v>
      </c>
      <c r="C84" s="579" t="s">
        <v>1578</v>
      </c>
      <c r="D84" s="578" t="s">
        <v>1695</v>
      </c>
      <c r="E84" s="580" t="s">
        <v>1736</v>
      </c>
      <c r="F84" s="581" t="s">
        <v>1737</v>
      </c>
    </row>
    <row r="85" spans="1:6">
      <c r="A85" s="577" t="s">
        <v>1734</v>
      </c>
      <c r="B85" s="578" t="s">
        <v>1699</v>
      </c>
      <c r="C85" s="579" t="s">
        <v>1578</v>
      </c>
      <c r="D85" s="578" t="s">
        <v>1700</v>
      </c>
      <c r="E85" s="580" t="s">
        <v>1736</v>
      </c>
      <c r="F85" s="581" t="s">
        <v>1737</v>
      </c>
    </row>
    <row r="86" spans="1:6">
      <c r="A86" s="577" t="s">
        <v>1734</v>
      </c>
      <c r="B86" s="578" t="s">
        <v>1738</v>
      </c>
      <c r="C86" s="579" t="s">
        <v>1578</v>
      </c>
      <c r="D86" s="578" t="s">
        <v>1739</v>
      </c>
      <c r="E86" s="580" t="s">
        <v>1736</v>
      </c>
      <c r="F86" s="581" t="s">
        <v>1737</v>
      </c>
    </row>
    <row r="87" spans="1:6">
      <c r="A87" s="577" t="s">
        <v>1734</v>
      </c>
      <c r="B87" s="578" t="s">
        <v>1740</v>
      </c>
      <c r="C87" s="579" t="s">
        <v>1578</v>
      </c>
      <c r="D87" s="578" t="s">
        <v>1698</v>
      </c>
      <c r="E87" s="580" t="s">
        <v>1736</v>
      </c>
      <c r="F87" s="581" t="s">
        <v>1737</v>
      </c>
    </row>
    <row r="88" spans="1:6">
      <c r="A88" s="563" t="s">
        <v>1734</v>
      </c>
      <c r="B88" s="574" t="s">
        <v>1701</v>
      </c>
      <c r="C88" s="565" t="s">
        <v>1578</v>
      </c>
      <c r="D88" s="574" t="s">
        <v>1702</v>
      </c>
      <c r="E88" s="566" t="s">
        <v>1721</v>
      </c>
      <c r="F88" s="567" t="s">
        <v>880</v>
      </c>
    </row>
    <row r="89" spans="1:6">
      <c r="A89" s="577" t="s">
        <v>1734</v>
      </c>
      <c r="B89" s="578" t="s">
        <v>1741</v>
      </c>
      <c r="C89" s="579" t="s">
        <v>1578</v>
      </c>
      <c r="D89" s="578" t="s">
        <v>1691</v>
      </c>
      <c r="E89" s="580" t="s">
        <v>1736</v>
      </c>
      <c r="F89" s="581" t="s">
        <v>1737</v>
      </c>
    </row>
    <row r="90" spans="1:6">
      <c r="A90" s="577" t="s">
        <v>1734</v>
      </c>
      <c r="B90" s="578" t="s">
        <v>1742</v>
      </c>
      <c r="C90" s="579" t="s">
        <v>1578</v>
      </c>
      <c r="D90" s="578" t="s">
        <v>1693</v>
      </c>
      <c r="E90" s="580" t="s">
        <v>1736</v>
      </c>
      <c r="F90" s="581" t="s">
        <v>1737</v>
      </c>
    </row>
    <row r="91" spans="1:6">
      <c r="A91" s="577" t="s">
        <v>1734</v>
      </c>
      <c r="B91" s="578" t="s">
        <v>1743</v>
      </c>
      <c r="C91" s="579" t="s">
        <v>1578</v>
      </c>
      <c r="D91" s="578" t="s">
        <v>842</v>
      </c>
      <c r="E91" s="580" t="s">
        <v>1736</v>
      </c>
      <c r="F91" s="581" t="s">
        <v>1737</v>
      </c>
    </row>
    <row r="92" spans="1:6">
      <c r="A92" s="577" t="s">
        <v>1734</v>
      </c>
      <c r="B92" s="578" t="s">
        <v>1703</v>
      </c>
      <c r="C92" s="579" t="s">
        <v>1578</v>
      </c>
      <c r="D92" s="578" t="s">
        <v>1704</v>
      </c>
      <c r="E92" s="580" t="s">
        <v>1736</v>
      </c>
      <c r="F92" s="581" t="s">
        <v>1737</v>
      </c>
    </row>
    <row r="93" spans="1:6" ht="28.5">
      <c r="A93" s="577" t="s">
        <v>1734</v>
      </c>
      <c r="B93" s="578" t="s">
        <v>1744</v>
      </c>
      <c r="C93" s="579" t="s">
        <v>1578</v>
      </c>
      <c r="D93" s="578" t="s">
        <v>1745</v>
      </c>
      <c r="E93" s="580" t="s">
        <v>1736</v>
      </c>
      <c r="F93" s="581" t="s">
        <v>1737</v>
      </c>
    </row>
    <row r="94" spans="1:6">
      <c r="A94" s="577" t="s">
        <v>1734</v>
      </c>
      <c r="B94" s="578" t="s">
        <v>1707</v>
      </c>
      <c r="C94" s="579" t="s">
        <v>1578</v>
      </c>
      <c r="D94" s="578" t="s">
        <v>1538</v>
      </c>
      <c r="E94" s="580" t="s">
        <v>1736</v>
      </c>
      <c r="F94" s="581" t="s">
        <v>1737</v>
      </c>
    </row>
    <row r="95" spans="1:6">
      <c r="A95" s="577" t="s">
        <v>1734</v>
      </c>
      <c r="B95" s="578" t="s">
        <v>1746</v>
      </c>
      <c r="C95" s="579" t="s">
        <v>1578</v>
      </c>
      <c r="D95" s="578" t="s">
        <v>1538</v>
      </c>
      <c r="E95" s="580" t="s">
        <v>1736</v>
      </c>
      <c r="F95" s="581" t="s">
        <v>1737</v>
      </c>
    </row>
    <row r="96" spans="1:6">
      <c r="A96" s="582" t="s">
        <v>1576</v>
      </c>
      <c r="B96" s="583" t="s">
        <v>1747</v>
      </c>
      <c r="C96" s="549" t="s">
        <v>1748</v>
      </c>
      <c r="D96" s="548" t="s">
        <v>1749</v>
      </c>
      <c r="E96" s="550" t="s">
        <v>449</v>
      </c>
      <c r="F96" s="551">
        <v>3185074387</v>
      </c>
    </row>
    <row r="97" spans="1:6">
      <c r="A97" s="582" t="s">
        <v>1576</v>
      </c>
      <c r="B97" s="548" t="s">
        <v>1750</v>
      </c>
      <c r="C97" s="549" t="s">
        <v>1748</v>
      </c>
      <c r="D97" s="548" t="s">
        <v>1751</v>
      </c>
      <c r="E97" s="550" t="s">
        <v>449</v>
      </c>
      <c r="F97" s="551">
        <v>3185074387</v>
      </c>
    </row>
    <row r="98" spans="1:6" ht="28.5">
      <c r="A98" s="582" t="s">
        <v>1576</v>
      </c>
      <c r="B98" s="548" t="s">
        <v>1752</v>
      </c>
      <c r="C98" s="549" t="s">
        <v>1748</v>
      </c>
      <c r="D98" s="548" t="s">
        <v>1753</v>
      </c>
      <c r="E98" s="550" t="s">
        <v>449</v>
      </c>
      <c r="F98" s="551">
        <v>3185074387</v>
      </c>
    </row>
    <row r="99" spans="1:6">
      <c r="A99" s="582" t="s">
        <v>1576</v>
      </c>
      <c r="B99" s="548" t="s">
        <v>1754</v>
      </c>
      <c r="C99" s="549" t="s">
        <v>1748</v>
      </c>
      <c r="D99" s="583" t="s">
        <v>1084</v>
      </c>
      <c r="E99" s="550" t="s">
        <v>449</v>
      </c>
      <c r="F99" s="551">
        <v>3185074387</v>
      </c>
    </row>
    <row r="100" spans="1:6" ht="43.5">
      <c r="A100" s="582" t="s">
        <v>1576</v>
      </c>
      <c r="B100" s="548" t="s">
        <v>1755</v>
      </c>
      <c r="C100" s="549" t="s">
        <v>1748</v>
      </c>
      <c r="D100" s="583" t="s">
        <v>1756</v>
      </c>
      <c r="E100" s="550" t="s">
        <v>449</v>
      </c>
      <c r="F100" s="551">
        <v>3185074387</v>
      </c>
    </row>
    <row r="101" spans="1:6">
      <c r="A101" s="584" t="s">
        <v>256</v>
      </c>
      <c r="B101" s="575" t="s">
        <v>182</v>
      </c>
      <c r="C101" s="576" t="s">
        <v>1748</v>
      </c>
      <c r="D101" s="569" t="s">
        <v>1757</v>
      </c>
      <c r="E101" s="571" t="s">
        <v>428</v>
      </c>
      <c r="F101" s="572" t="s">
        <v>1722</v>
      </c>
    </row>
    <row r="102" spans="1:6">
      <c r="A102" s="582" t="s">
        <v>1576</v>
      </c>
      <c r="B102" s="550" t="s">
        <v>78</v>
      </c>
      <c r="C102" s="585" t="s">
        <v>1352</v>
      </c>
      <c r="D102" s="583" t="s">
        <v>1758</v>
      </c>
      <c r="E102" s="550" t="s">
        <v>449</v>
      </c>
      <c r="F102" s="551">
        <v>3185074387</v>
      </c>
    </row>
    <row r="103" spans="1:6">
      <c r="A103" s="584" t="s">
        <v>256</v>
      </c>
      <c r="B103" s="569" t="s">
        <v>80</v>
      </c>
      <c r="C103" s="570" t="s">
        <v>1352</v>
      </c>
      <c r="D103" s="575" t="s">
        <v>717</v>
      </c>
      <c r="E103" s="571" t="s">
        <v>428</v>
      </c>
      <c r="F103" s="572" t="s">
        <v>1722</v>
      </c>
    </row>
    <row r="104" spans="1:6">
      <c r="A104" s="586" t="s">
        <v>74</v>
      </c>
      <c r="B104" s="569" t="s">
        <v>1759</v>
      </c>
      <c r="C104" s="579" t="s">
        <v>1578</v>
      </c>
      <c r="D104" s="575" t="s">
        <v>1538</v>
      </c>
      <c r="E104" s="556" t="s">
        <v>1709</v>
      </c>
      <c r="F104" s="587" t="s">
        <v>825</v>
      </c>
    </row>
    <row r="105" spans="1:6">
      <c r="A105" s="586" t="s">
        <v>74</v>
      </c>
      <c r="B105" s="588" t="s">
        <v>1760</v>
      </c>
      <c r="C105" s="589" t="s">
        <v>1352</v>
      </c>
      <c r="D105" s="554" t="s">
        <v>1538</v>
      </c>
      <c r="E105" s="556" t="s">
        <v>1709</v>
      </c>
      <c r="F105" s="587" t="s">
        <v>825</v>
      </c>
    </row>
    <row r="106" spans="1:6" ht="28.5">
      <c r="A106" s="590" t="s">
        <v>1576</v>
      </c>
      <c r="B106" s="591" t="s">
        <v>1761</v>
      </c>
      <c r="C106" s="592" t="s">
        <v>1762</v>
      </c>
      <c r="D106" s="591" t="s">
        <v>1763</v>
      </c>
      <c r="E106" s="593" t="s">
        <v>513</v>
      </c>
      <c r="F106" s="594" t="s">
        <v>1764</v>
      </c>
    </row>
    <row r="107" spans="1:6">
      <c r="A107" s="590" t="s">
        <v>1576</v>
      </c>
      <c r="B107" s="591" t="s">
        <v>1765</v>
      </c>
      <c r="C107" s="592" t="s">
        <v>1762</v>
      </c>
      <c r="D107" s="591" t="s">
        <v>1766</v>
      </c>
      <c r="E107" s="593" t="s">
        <v>513</v>
      </c>
      <c r="F107" s="594" t="s">
        <v>1764</v>
      </c>
    </row>
    <row r="108" spans="1:6">
      <c r="A108" s="590" t="s">
        <v>1576</v>
      </c>
      <c r="B108" s="591" t="s">
        <v>1767</v>
      </c>
      <c r="C108" s="592" t="s">
        <v>1762</v>
      </c>
      <c r="D108" s="591" t="s">
        <v>1768</v>
      </c>
      <c r="E108" s="593" t="s">
        <v>513</v>
      </c>
      <c r="F108" s="594" t="s">
        <v>1764</v>
      </c>
    </row>
    <row r="109" spans="1:6" ht="28.5">
      <c r="A109" s="590" t="s">
        <v>1576</v>
      </c>
      <c r="B109" s="591" t="s">
        <v>1769</v>
      </c>
      <c r="C109" s="592" t="s">
        <v>1762</v>
      </c>
      <c r="D109" s="591" t="s">
        <v>1770</v>
      </c>
      <c r="E109" s="593" t="s">
        <v>513</v>
      </c>
      <c r="F109" s="594" t="s">
        <v>1764</v>
      </c>
    </row>
    <row r="110" spans="1:6">
      <c r="A110" s="590" t="s">
        <v>1576</v>
      </c>
      <c r="B110" s="591" t="s">
        <v>1771</v>
      </c>
      <c r="C110" s="592" t="s">
        <v>1762</v>
      </c>
      <c r="D110" s="591" t="s">
        <v>1772</v>
      </c>
      <c r="E110" s="593" t="s">
        <v>513</v>
      </c>
      <c r="F110" s="594" t="s">
        <v>1764</v>
      </c>
    </row>
    <row r="111" spans="1:6">
      <c r="A111" s="590" t="s">
        <v>1576</v>
      </c>
      <c r="B111" s="591" t="s">
        <v>1773</v>
      </c>
      <c r="C111" s="595" t="s">
        <v>1762</v>
      </c>
      <c r="D111" s="597" t="s">
        <v>1774</v>
      </c>
      <c r="E111" s="593" t="s">
        <v>513</v>
      </c>
      <c r="F111" s="594" t="s">
        <v>1764</v>
      </c>
    </row>
    <row r="112" spans="1:6">
      <c r="A112" s="590" t="s">
        <v>1576</v>
      </c>
      <c r="B112" s="591" t="s">
        <v>1775</v>
      </c>
      <c r="C112" s="595" t="s">
        <v>1762</v>
      </c>
      <c r="D112" s="597" t="s">
        <v>1776</v>
      </c>
      <c r="E112" s="593" t="s">
        <v>513</v>
      </c>
      <c r="F112" s="594" t="s">
        <v>1764</v>
      </c>
    </row>
    <row r="113" spans="1:6">
      <c r="A113" s="590" t="s">
        <v>1734</v>
      </c>
      <c r="B113" s="591" t="s">
        <v>1777</v>
      </c>
      <c r="C113" s="592" t="s">
        <v>1762</v>
      </c>
      <c r="D113" s="591" t="s">
        <v>1538</v>
      </c>
      <c r="E113" s="593" t="s">
        <v>513</v>
      </c>
      <c r="F113" s="594" t="s">
        <v>1764</v>
      </c>
    </row>
    <row r="114" spans="1:6">
      <c r="A114" s="590" t="s">
        <v>74</v>
      </c>
      <c r="B114" s="591" t="s">
        <v>1778</v>
      </c>
      <c r="C114" s="592" t="s">
        <v>1762</v>
      </c>
      <c r="D114" s="591" t="s">
        <v>1779</v>
      </c>
      <c r="E114" s="593" t="s">
        <v>513</v>
      </c>
      <c r="F114" s="594" t="s">
        <v>1764</v>
      </c>
    </row>
    <row r="115" spans="1:6" ht="28.5">
      <c r="A115" s="590" t="s">
        <v>1780</v>
      </c>
      <c r="B115" s="591" t="s">
        <v>1781</v>
      </c>
      <c r="C115" s="592" t="s">
        <v>1762</v>
      </c>
      <c r="D115" s="591" t="s">
        <v>1782</v>
      </c>
      <c r="E115" s="593" t="s">
        <v>513</v>
      </c>
      <c r="F115" s="594" t="s">
        <v>1764</v>
      </c>
    </row>
    <row r="116" spans="1:6" ht="28.5">
      <c r="A116" s="590" t="s">
        <v>1780</v>
      </c>
      <c r="B116" s="591" t="s">
        <v>1783</v>
      </c>
      <c r="C116" s="592" t="s">
        <v>1762</v>
      </c>
      <c r="D116" s="591" t="s">
        <v>1784</v>
      </c>
      <c r="E116" s="593" t="s">
        <v>513</v>
      </c>
      <c r="F116" s="594" t="s">
        <v>1764</v>
      </c>
    </row>
    <row r="117" spans="1:6">
      <c r="A117" s="590" t="s">
        <v>273</v>
      </c>
      <c r="B117" s="591" t="s">
        <v>1785</v>
      </c>
      <c r="C117" s="592" t="s">
        <v>1762</v>
      </c>
      <c r="D117" s="591" t="s">
        <v>596</v>
      </c>
      <c r="E117" s="593" t="s">
        <v>513</v>
      </c>
      <c r="F117" s="594" t="s">
        <v>1764</v>
      </c>
    </row>
    <row r="118" spans="1:6" ht="28.5">
      <c r="A118" s="590" t="s">
        <v>256</v>
      </c>
      <c r="B118" s="593" t="s">
        <v>260</v>
      </c>
      <c r="C118" s="596" t="s">
        <v>1762</v>
      </c>
      <c r="D118" s="597" t="s">
        <v>1786</v>
      </c>
      <c r="E118" s="593" t="s">
        <v>513</v>
      </c>
      <c r="F118" s="594" t="s">
        <v>1764</v>
      </c>
    </row>
    <row r="119" spans="1:6" ht="28.5">
      <c r="A119" s="590" t="s">
        <v>256</v>
      </c>
      <c r="B119" s="593" t="s">
        <v>1787</v>
      </c>
      <c r="C119" s="596" t="s">
        <v>1762</v>
      </c>
      <c r="D119" s="597" t="s">
        <v>1788</v>
      </c>
      <c r="E119" s="593" t="s">
        <v>513</v>
      </c>
      <c r="F119" s="594" t="s">
        <v>1764</v>
      </c>
    </row>
    <row r="120" spans="1:6">
      <c r="A120" s="590" t="s">
        <v>256</v>
      </c>
      <c r="B120" s="593" t="s">
        <v>1789</v>
      </c>
      <c r="C120" s="596" t="s">
        <v>1762</v>
      </c>
      <c r="D120" s="597" t="s">
        <v>1790</v>
      </c>
      <c r="E120" s="593" t="s">
        <v>513</v>
      </c>
      <c r="F120" s="594" t="s">
        <v>1764</v>
      </c>
    </row>
    <row r="121" spans="1:6" ht="28.5">
      <c r="A121" s="590" t="s">
        <v>256</v>
      </c>
      <c r="B121" s="591" t="s">
        <v>1791</v>
      </c>
      <c r="C121" s="592" t="s">
        <v>1762</v>
      </c>
      <c r="D121" s="591" t="s">
        <v>698</v>
      </c>
      <c r="E121" s="593" t="s">
        <v>513</v>
      </c>
      <c r="F121" s="594" t="s">
        <v>1764</v>
      </c>
    </row>
    <row r="122" spans="1:6" ht="28.5">
      <c r="A122" s="590" t="s">
        <v>256</v>
      </c>
      <c r="B122" s="591" t="s">
        <v>1792</v>
      </c>
      <c r="C122" s="592" t="s">
        <v>1793</v>
      </c>
      <c r="D122" s="591" t="s">
        <v>1794</v>
      </c>
      <c r="E122" s="593" t="s">
        <v>513</v>
      </c>
      <c r="F122" s="594" t="s">
        <v>1764</v>
      </c>
    </row>
    <row r="123" spans="1:6">
      <c r="A123" s="590" t="s">
        <v>256</v>
      </c>
      <c r="B123" s="591" t="s">
        <v>1795</v>
      </c>
      <c r="C123" s="592" t="s">
        <v>1796</v>
      </c>
      <c r="D123" s="591" t="s">
        <v>1797</v>
      </c>
      <c r="E123" s="593" t="s">
        <v>513</v>
      </c>
      <c r="F123" s="594" t="s">
        <v>1764</v>
      </c>
    </row>
    <row r="124" spans="1:6">
      <c r="A124" s="598" t="s">
        <v>1576</v>
      </c>
      <c r="B124" s="599" t="s">
        <v>1798</v>
      </c>
      <c r="C124" s="600" t="s">
        <v>1799</v>
      </c>
      <c r="D124" s="599" t="s">
        <v>1800</v>
      </c>
      <c r="E124" s="601" t="s">
        <v>490</v>
      </c>
      <c r="F124" s="602" t="s">
        <v>1801</v>
      </c>
    </row>
    <row r="125" spans="1:6" ht="28.5">
      <c r="A125" s="598" t="s">
        <v>1576</v>
      </c>
      <c r="B125" s="599" t="s">
        <v>316</v>
      </c>
      <c r="C125" s="600" t="s">
        <v>1799</v>
      </c>
      <c r="D125" s="599" t="s">
        <v>1802</v>
      </c>
      <c r="E125" s="601" t="s">
        <v>490</v>
      </c>
      <c r="F125" s="602" t="s">
        <v>1801</v>
      </c>
    </row>
    <row r="126" spans="1:6" ht="28.5">
      <c r="A126" s="598" t="s">
        <v>1576</v>
      </c>
      <c r="B126" s="599" t="s">
        <v>1803</v>
      </c>
      <c r="C126" s="600" t="s">
        <v>1799</v>
      </c>
      <c r="D126" s="599" t="s">
        <v>1804</v>
      </c>
      <c r="E126" s="601" t="s">
        <v>490</v>
      </c>
      <c r="F126" s="602" t="s">
        <v>1801</v>
      </c>
    </row>
    <row r="127" spans="1:6" ht="28.5">
      <c r="A127" s="598" t="s">
        <v>1576</v>
      </c>
      <c r="B127" s="599" t="s">
        <v>1805</v>
      </c>
      <c r="C127" s="600" t="s">
        <v>1799</v>
      </c>
      <c r="D127" s="599" t="s">
        <v>1806</v>
      </c>
      <c r="E127" s="601" t="s">
        <v>490</v>
      </c>
      <c r="F127" s="602" t="s">
        <v>1801</v>
      </c>
    </row>
    <row r="128" spans="1:6" ht="28.5">
      <c r="A128" s="598" t="s">
        <v>1576</v>
      </c>
      <c r="B128" s="599" t="s">
        <v>1807</v>
      </c>
      <c r="C128" s="600" t="s">
        <v>1799</v>
      </c>
      <c r="D128" s="599" t="s">
        <v>1808</v>
      </c>
      <c r="E128" s="601" t="s">
        <v>490</v>
      </c>
      <c r="F128" s="602" t="s">
        <v>1801</v>
      </c>
    </row>
    <row r="129" spans="1:6">
      <c r="A129" s="598" t="s">
        <v>1576</v>
      </c>
      <c r="B129" s="599" t="s">
        <v>1809</v>
      </c>
      <c r="C129" s="603" t="s">
        <v>1799</v>
      </c>
      <c r="D129" s="599" t="s">
        <v>1160</v>
      </c>
      <c r="E129" s="601" t="s">
        <v>490</v>
      </c>
      <c r="F129" s="602" t="s">
        <v>1801</v>
      </c>
    </row>
    <row r="130" spans="1:6">
      <c r="A130" s="598" t="s">
        <v>1734</v>
      </c>
      <c r="B130" s="599" t="s">
        <v>1809</v>
      </c>
      <c r="C130" s="600" t="s">
        <v>1799</v>
      </c>
      <c r="D130" s="599" t="s">
        <v>1810</v>
      </c>
      <c r="E130" s="601" t="s">
        <v>490</v>
      </c>
      <c r="F130" s="602" t="s">
        <v>1801</v>
      </c>
    </row>
    <row r="131" spans="1:6" ht="28.5">
      <c r="A131" s="598" t="s">
        <v>283</v>
      </c>
      <c r="B131" s="599" t="s">
        <v>1811</v>
      </c>
      <c r="C131" s="600" t="s">
        <v>1799</v>
      </c>
      <c r="D131" s="599" t="s">
        <v>1812</v>
      </c>
      <c r="E131" s="601" t="s">
        <v>490</v>
      </c>
      <c r="F131" s="602" t="s">
        <v>1801</v>
      </c>
    </row>
    <row r="132" spans="1:6">
      <c r="A132" s="598" t="s">
        <v>256</v>
      </c>
      <c r="B132" s="599" t="s">
        <v>185</v>
      </c>
      <c r="C132" s="600" t="s">
        <v>1799</v>
      </c>
      <c r="D132" s="599" t="s">
        <v>622</v>
      </c>
      <c r="E132" s="601" t="s">
        <v>490</v>
      </c>
      <c r="F132" s="602" t="s">
        <v>1801</v>
      </c>
    </row>
    <row r="133" spans="1:6">
      <c r="A133" s="598" t="s">
        <v>256</v>
      </c>
      <c r="B133" s="599" t="s">
        <v>1813</v>
      </c>
      <c r="C133" s="600" t="s">
        <v>1799</v>
      </c>
      <c r="D133" s="599" t="s">
        <v>1814</v>
      </c>
      <c r="E133" s="601" t="s">
        <v>490</v>
      </c>
      <c r="F133" s="602" t="s">
        <v>1801</v>
      </c>
    </row>
    <row r="134" spans="1:6">
      <c r="A134" s="598" t="s">
        <v>74</v>
      </c>
      <c r="B134" s="599" t="s">
        <v>1815</v>
      </c>
      <c r="C134" s="600" t="s">
        <v>1799</v>
      </c>
      <c r="D134" s="599" t="s">
        <v>1810</v>
      </c>
      <c r="E134" s="601" t="s">
        <v>490</v>
      </c>
      <c r="F134" s="602" t="s">
        <v>1801</v>
      </c>
    </row>
    <row r="135" spans="1:6">
      <c r="A135" s="598" t="s">
        <v>1816</v>
      </c>
      <c r="B135" s="599" t="s">
        <v>1817</v>
      </c>
      <c r="C135" s="600" t="s">
        <v>1799</v>
      </c>
      <c r="D135" s="599" t="s">
        <v>1818</v>
      </c>
      <c r="E135" s="601" t="s">
        <v>490</v>
      </c>
      <c r="F135" s="602" t="s">
        <v>1801</v>
      </c>
    </row>
    <row r="136" spans="1:6" ht="28.5" hidden="1">
      <c r="A136" s="604" t="s">
        <v>283</v>
      </c>
      <c r="B136" s="605" t="s">
        <v>1819</v>
      </c>
      <c r="C136" s="606" t="s">
        <v>1820</v>
      </c>
      <c r="D136" s="605" t="s">
        <v>1538</v>
      </c>
      <c r="E136" s="607" t="s">
        <v>1736</v>
      </c>
      <c r="F136" s="557" t="s">
        <v>1737</v>
      </c>
    </row>
    <row r="137" spans="1:6" ht="28.5" hidden="1">
      <c r="A137" s="604" t="s">
        <v>283</v>
      </c>
      <c r="B137" s="605" t="s">
        <v>1821</v>
      </c>
      <c r="C137" s="606" t="s">
        <v>1820</v>
      </c>
      <c r="D137" s="605" t="s">
        <v>1538</v>
      </c>
      <c r="E137" s="607" t="s">
        <v>1736</v>
      </c>
      <c r="F137" s="557" t="s">
        <v>1737</v>
      </c>
    </row>
    <row r="138" spans="1:6" ht="28.5" hidden="1">
      <c r="A138" s="604" t="s">
        <v>283</v>
      </c>
      <c r="B138" s="605" t="s">
        <v>286</v>
      </c>
      <c r="C138" s="606" t="s">
        <v>1820</v>
      </c>
      <c r="D138" s="605" t="s">
        <v>1538</v>
      </c>
      <c r="E138" s="607" t="s">
        <v>1736</v>
      </c>
      <c r="F138" s="557" t="s">
        <v>1737</v>
      </c>
    </row>
    <row r="139" spans="1:6">
      <c r="A139" s="608" t="s">
        <v>1576</v>
      </c>
      <c r="B139" s="609" t="s">
        <v>1822</v>
      </c>
      <c r="C139" s="610" t="s">
        <v>1823</v>
      </c>
      <c r="D139" s="609" t="s">
        <v>1192</v>
      </c>
      <c r="E139" s="611" t="s">
        <v>506</v>
      </c>
      <c r="F139" s="612" t="s">
        <v>1824</v>
      </c>
    </row>
    <row r="140" spans="1:6">
      <c r="A140" s="608" t="s">
        <v>1576</v>
      </c>
      <c r="B140" s="609" t="s">
        <v>1825</v>
      </c>
      <c r="C140" s="610" t="s">
        <v>1823</v>
      </c>
      <c r="D140" s="609" t="s">
        <v>1826</v>
      </c>
      <c r="E140" s="611" t="s">
        <v>506</v>
      </c>
      <c r="F140" s="612" t="s">
        <v>1824</v>
      </c>
    </row>
    <row r="141" spans="1:6">
      <c r="A141" s="608" t="s">
        <v>1576</v>
      </c>
      <c r="B141" s="609" t="s">
        <v>1827</v>
      </c>
      <c r="C141" s="610" t="s">
        <v>1823</v>
      </c>
      <c r="D141" s="609" t="s">
        <v>1828</v>
      </c>
      <c r="E141" s="611" t="s">
        <v>506</v>
      </c>
      <c r="F141" s="612" t="s">
        <v>1824</v>
      </c>
    </row>
    <row r="142" spans="1:6">
      <c r="A142" s="608" t="s">
        <v>1576</v>
      </c>
      <c r="B142" s="609" t="s">
        <v>1829</v>
      </c>
      <c r="C142" s="610" t="s">
        <v>1823</v>
      </c>
      <c r="D142" s="609" t="s">
        <v>1830</v>
      </c>
      <c r="E142" s="611" t="s">
        <v>506</v>
      </c>
      <c r="F142" s="612" t="s">
        <v>1824</v>
      </c>
    </row>
    <row r="143" spans="1:6">
      <c r="A143" s="608" t="s">
        <v>1734</v>
      </c>
      <c r="B143" s="609" t="s">
        <v>1822</v>
      </c>
      <c r="C143" s="610" t="s">
        <v>1823</v>
      </c>
      <c r="D143" s="609" t="s">
        <v>1192</v>
      </c>
      <c r="E143" s="611" t="s">
        <v>506</v>
      </c>
      <c r="F143" s="612" t="s">
        <v>1824</v>
      </c>
    </row>
    <row r="144" spans="1:6">
      <c r="A144" s="608" t="s">
        <v>1734</v>
      </c>
      <c r="B144" s="609" t="s">
        <v>1827</v>
      </c>
      <c r="C144" s="610" t="s">
        <v>1823</v>
      </c>
      <c r="D144" s="609" t="s">
        <v>1828</v>
      </c>
      <c r="E144" s="611" t="s">
        <v>506</v>
      </c>
      <c r="F144" s="612" t="s">
        <v>1824</v>
      </c>
    </row>
    <row r="145" spans="1:6">
      <c r="A145" s="608" t="s">
        <v>74</v>
      </c>
      <c r="B145" s="609" t="s">
        <v>1831</v>
      </c>
      <c r="C145" s="610" t="s">
        <v>1823</v>
      </c>
      <c r="D145" s="609" t="s">
        <v>1832</v>
      </c>
      <c r="E145" s="611" t="s">
        <v>506</v>
      </c>
      <c r="F145" s="612" t="s">
        <v>1824</v>
      </c>
    </row>
    <row r="146" spans="1:6">
      <c r="A146" s="608" t="s">
        <v>283</v>
      </c>
      <c r="B146" s="609" t="s">
        <v>1811</v>
      </c>
      <c r="C146" s="610" t="s">
        <v>1823</v>
      </c>
      <c r="D146" s="609" t="s">
        <v>1271</v>
      </c>
      <c r="E146" s="611" t="s">
        <v>506</v>
      </c>
      <c r="F146" s="612" t="s">
        <v>1824</v>
      </c>
    </row>
    <row r="147" spans="1:6">
      <c r="A147" s="608" t="s">
        <v>256</v>
      </c>
      <c r="B147" s="609" t="s">
        <v>210</v>
      </c>
      <c r="C147" s="610" t="s">
        <v>1823</v>
      </c>
      <c r="D147" s="609" t="s">
        <v>1833</v>
      </c>
      <c r="E147" s="611" t="s">
        <v>506</v>
      </c>
      <c r="F147" s="612" t="s">
        <v>1824</v>
      </c>
    </row>
    <row r="148" spans="1:6">
      <c r="A148" s="608" t="s">
        <v>256</v>
      </c>
      <c r="B148" s="609" t="s">
        <v>1834</v>
      </c>
      <c r="C148" s="610" t="s">
        <v>1823</v>
      </c>
      <c r="D148" s="609" t="s">
        <v>1835</v>
      </c>
      <c r="E148" s="611" t="s">
        <v>506</v>
      </c>
      <c r="F148" s="612" t="s">
        <v>1824</v>
      </c>
    </row>
    <row r="149" spans="1:6" ht="28.5">
      <c r="A149" s="608" t="s">
        <v>256</v>
      </c>
      <c r="B149" s="609" t="s">
        <v>1836</v>
      </c>
      <c r="C149" s="610" t="s">
        <v>1823</v>
      </c>
      <c r="D149" s="613" t="s">
        <v>722</v>
      </c>
      <c r="E149" s="611" t="s">
        <v>506</v>
      </c>
      <c r="F149" s="612" t="s">
        <v>1824</v>
      </c>
    </row>
    <row r="150" spans="1:6">
      <c r="A150" s="608" t="s">
        <v>273</v>
      </c>
      <c r="B150" s="609" t="s">
        <v>1785</v>
      </c>
      <c r="C150" s="610" t="s">
        <v>1823</v>
      </c>
      <c r="D150" s="609" t="s">
        <v>608</v>
      </c>
      <c r="E150" s="611" t="s">
        <v>506</v>
      </c>
      <c r="F150" s="612" t="s">
        <v>1824</v>
      </c>
    </row>
    <row r="151" spans="1:6" ht="28.5">
      <c r="A151" s="608" t="s">
        <v>1734</v>
      </c>
      <c r="B151" s="609" t="s">
        <v>1210</v>
      </c>
      <c r="C151" s="614" t="s">
        <v>1837</v>
      </c>
      <c r="D151" s="609" t="s">
        <v>1838</v>
      </c>
      <c r="E151" s="611" t="s">
        <v>506</v>
      </c>
      <c r="F151" s="612" t="s">
        <v>1824</v>
      </c>
    </row>
    <row r="152" spans="1:6">
      <c r="A152" s="608" t="s">
        <v>1576</v>
      </c>
      <c r="B152" s="609" t="s">
        <v>1839</v>
      </c>
      <c r="C152" s="610" t="s">
        <v>1837</v>
      </c>
      <c r="D152" s="609" t="s">
        <v>1216</v>
      </c>
      <c r="E152" s="611" t="s">
        <v>506</v>
      </c>
      <c r="F152" s="612" t="s">
        <v>1824</v>
      </c>
    </row>
    <row r="153" spans="1:6">
      <c r="A153" s="608" t="s">
        <v>1840</v>
      </c>
      <c r="B153" s="615" t="s">
        <v>1841</v>
      </c>
      <c r="C153" s="610" t="s">
        <v>1842</v>
      </c>
      <c r="D153" s="609" t="s">
        <v>1538</v>
      </c>
      <c r="E153" s="611" t="s">
        <v>506</v>
      </c>
      <c r="F153" s="612" t="s">
        <v>1824</v>
      </c>
    </row>
    <row r="154" spans="1:6">
      <c r="A154" s="616" t="s">
        <v>1840</v>
      </c>
      <c r="B154" s="615" t="s">
        <v>1841</v>
      </c>
      <c r="C154" s="617" t="s">
        <v>1843</v>
      </c>
      <c r="D154" s="622" t="s">
        <v>1538</v>
      </c>
      <c r="E154" s="618" t="s">
        <v>1844</v>
      </c>
      <c r="F154" s="619" t="s">
        <v>1845</v>
      </c>
    </row>
    <row r="155" spans="1:6">
      <c r="A155" s="616" t="s">
        <v>1576</v>
      </c>
      <c r="B155" s="620" t="s">
        <v>1846</v>
      </c>
      <c r="C155" s="617" t="s">
        <v>1847</v>
      </c>
      <c r="D155" s="622" t="s">
        <v>1224</v>
      </c>
      <c r="E155" s="618" t="s">
        <v>1844</v>
      </c>
      <c r="F155" s="619" t="s">
        <v>1845</v>
      </c>
    </row>
    <row r="156" spans="1:6" ht="28.5">
      <c r="A156" s="616" t="s">
        <v>273</v>
      </c>
      <c r="B156" s="620" t="s">
        <v>1848</v>
      </c>
      <c r="C156" s="621" t="s">
        <v>1847</v>
      </c>
      <c r="D156" s="620" t="s">
        <v>1849</v>
      </c>
      <c r="E156" s="618" t="s">
        <v>1844</v>
      </c>
      <c r="F156" s="619" t="s">
        <v>1845</v>
      </c>
    </row>
    <row r="157" spans="1:6" ht="28.5">
      <c r="A157" s="616" t="s">
        <v>256</v>
      </c>
      <c r="B157" s="620" t="s">
        <v>1850</v>
      </c>
      <c r="C157" s="621" t="s">
        <v>1847</v>
      </c>
      <c r="D157" s="620" t="s">
        <v>1851</v>
      </c>
      <c r="E157" s="618" t="s">
        <v>1844</v>
      </c>
      <c r="F157" s="619" t="s">
        <v>1845</v>
      </c>
    </row>
    <row r="158" spans="1:6">
      <c r="A158" s="616" t="s">
        <v>74</v>
      </c>
      <c r="B158" s="620" t="s">
        <v>1852</v>
      </c>
      <c r="C158" s="621" t="s">
        <v>1847</v>
      </c>
      <c r="D158" s="620" t="s">
        <v>1853</v>
      </c>
      <c r="E158" s="618" t="s">
        <v>1844</v>
      </c>
      <c r="F158" s="619" t="s">
        <v>1845</v>
      </c>
    </row>
    <row r="159" spans="1:6">
      <c r="A159" s="616" t="s">
        <v>74</v>
      </c>
      <c r="B159" s="622" t="s">
        <v>1854</v>
      </c>
      <c r="C159" s="617" t="s">
        <v>1847</v>
      </c>
      <c r="D159" s="622" t="s">
        <v>1855</v>
      </c>
      <c r="E159" s="618" t="s">
        <v>1844</v>
      </c>
      <c r="F159" s="619" t="s">
        <v>1845</v>
      </c>
    </row>
    <row r="160" spans="1:6" ht="28.5">
      <c r="A160" s="616" t="s">
        <v>1734</v>
      </c>
      <c r="B160" s="620" t="s">
        <v>1856</v>
      </c>
      <c r="C160" s="621" t="s">
        <v>1847</v>
      </c>
      <c r="D160" s="620" t="s">
        <v>1857</v>
      </c>
      <c r="E160" s="618" t="s">
        <v>1844</v>
      </c>
      <c r="F160" s="619" t="s">
        <v>1845</v>
      </c>
    </row>
    <row r="161" spans="1:6" ht="28.5">
      <c r="A161" s="604" t="s">
        <v>256</v>
      </c>
      <c r="B161" s="623" t="s">
        <v>1858</v>
      </c>
      <c r="C161" s="624" t="s">
        <v>1379</v>
      </c>
      <c r="D161" s="623" t="s">
        <v>1859</v>
      </c>
      <c r="E161" s="625" t="s">
        <v>1860</v>
      </c>
      <c r="F161" s="557" t="s">
        <v>1538</v>
      </c>
    </row>
    <row r="162" spans="1:6">
      <c r="A162" s="604" t="s">
        <v>1576</v>
      </c>
      <c r="B162" s="623" t="s">
        <v>1861</v>
      </c>
      <c r="C162" s="624" t="s">
        <v>1379</v>
      </c>
      <c r="D162" s="605" t="s">
        <v>1862</v>
      </c>
      <c r="E162" s="625" t="s">
        <v>1860</v>
      </c>
      <c r="F162" s="557" t="s">
        <v>1538</v>
      </c>
    </row>
    <row r="163" spans="1:6">
      <c r="A163" s="604" t="s">
        <v>273</v>
      </c>
      <c r="B163" s="605" t="s">
        <v>1863</v>
      </c>
      <c r="C163" s="606" t="s">
        <v>1379</v>
      </c>
      <c r="D163" s="605" t="s">
        <v>1864</v>
      </c>
      <c r="E163" s="625" t="s">
        <v>1860</v>
      </c>
      <c r="F163" s="557" t="s">
        <v>1538</v>
      </c>
    </row>
    <row r="164" spans="1:6">
      <c r="A164" s="626" t="s">
        <v>283</v>
      </c>
      <c r="B164" s="627" t="s">
        <v>1526</v>
      </c>
      <c r="C164" s="628" t="s">
        <v>1352</v>
      </c>
      <c r="D164" s="627" t="s">
        <v>1538</v>
      </c>
      <c r="E164" s="561" t="s">
        <v>1736</v>
      </c>
      <c r="F164" s="562" t="s">
        <v>1737</v>
      </c>
    </row>
    <row r="165" spans="1:6">
      <c r="A165" s="626" t="s">
        <v>283</v>
      </c>
      <c r="B165" s="627" t="s">
        <v>1525</v>
      </c>
      <c r="C165" s="628" t="s">
        <v>1578</v>
      </c>
      <c r="D165" s="627" t="s">
        <v>1538</v>
      </c>
      <c r="E165" s="561" t="s">
        <v>1736</v>
      </c>
      <c r="F165" s="562" t="s">
        <v>1737</v>
      </c>
    </row>
    <row r="166" spans="1:6">
      <c r="A166" s="584" t="s">
        <v>256</v>
      </c>
      <c r="B166" s="569" t="s">
        <v>1865</v>
      </c>
      <c r="C166" s="570" t="s">
        <v>1578</v>
      </c>
      <c r="D166" s="569" t="s">
        <v>1538</v>
      </c>
      <c r="E166" s="571" t="s">
        <v>428</v>
      </c>
      <c r="F166" s="572" t="s">
        <v>1722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70C0"/>
  </sheetPr>
  <dimension ref="A1:AO85"/>
  <sheetViews>
    <sheetView showGridLines="0" topLeftCell="B1" zoomScale="90" zoomScaleNormal="90" workbookViewId="0">
      <pane ySplit="3" topLeftCell="A58" activePane="bottomLeft" state="frozen"/>
      <selection pane="bottomLeft" activeCell="AO53" sqref="AO53"/>
    </sheetView>
  </sheetViews>
  <sheetFormatPr defaultColWidth="11.42578125" defaultRowHeight="14.45"/>
  <cols>
    <col min="1" max="1" width="61.42578125" bestFit="1" customWidth="1"/>
    <col min="2" max="2" width="16.7109375" bestFit="1" customWidth="1"/>
    <col min="3" max="3" width="13.28515625" bestFit="1" customWidth="1"/>
    <col min="4" max="4" width="17.85546875" bestFit="1" customWidth="1"/>
    <col min="5" max="5" width="20.5703125" bestFit="1" customWidth="1"/>
    <col min="6" max="6" width="10.7109375" bestFit="1" customWidth="1"/>
    <col min="7" max="7" width="8.5703125" customWidth="1"/>
    <col min="8" max="8" width="5.7109375" customWidth="1"/>
    <col min="9" max="9" width="10" customWidth="1"/>
    <col min="10" max="10" width="7.28515625" customWidth="1"/>
    <col min="11" max="35" width="3.7109375" customWidth="1"/>
    <col min="36" max="38" width="3.28515625" bestFit="1" customWidth="1"/>
    <col min="39" max="39" width="4.28515625" bestFit="1" customWidth="1"/>
    <col min="40" max="40" width="3.28515625" bestFit="1" customWidth="1"/>
    <col min="41" max="41" width="4.28515625" bestFit="1" customWidth="1"/>
  </cols>
  <sheetData>
    <row r="1" spans="1:41" ht="31.9" customHeight="1" thickBot="1">
      <c r="A1" s="512" t="s">
        <v>1866</v>
      </c>
      <c r="B1" s="512"/>
      <c r="C1" s="512"/>
      <c r="D1" s="512"/>
      <c r="E1" s="512"/>
      <c r="F1" s="512"/>
      <c r="G1" s="20"/>
      <c r="H1" s="33"/>
      <c r="I1" s="33"/>
      <c r="J1" s="538"/>
      <c r="K1" s="538"/>
      <c r="L1" s="803" t="s">
        <v>1867</v>
      </c>
      <c r="M1" s="804"/>
      <c r="N1" s="804"/>
      <c r="O1" s="804"/>
      <c r="P1" s="804"/>
      <c r="Q1" s="804"/>
      <c r="R1" s="804"/>
      <c r="S1" s="804"/>
      <c r="T1" s="804"/>
      <c r="U1" s="804"/>
      <c r="V1" s="804"/>
      <c r="W1" s="804"/>
      <c r="X1" s="804"/>
      <c r="Y1" s="804"/>
      <c r="Z1" s="804"/>
      <c r="AA1" s="804"/>
      <c r="AB1" s="804"/>
      <c r="AC1" s="804"/>
      <c r="AD1" s="804"/>
      <c r="AE1" s="804"/>
      <c r="AF1" s="804"/>
      <c r="AG1" s="804"/>
      <c r="AH1" s="804"/>
      <c r="AI1" s="804"/>
      <c r="AJ1" s="804"/>
      <c r="AK1" s="804"/>
      <c r="AL1" s="804"/>
      <c r="AM1" s="804"/>
      <c r="AN1" s="804"/>
      <c r="AO1" s="805"/>
    </row>
    <row r="2" spans="1:41" ht="15" customHeight="1" thickBot="1">
      <c r="D2" s="18"/>
      <c r="H2" s="95"/>
      <c r="I2" s="492"/>
      <c r="J2" s="492"/>
      <c r="K2" s="84"/>
      <c r="L2" s="535">
        <v>1</v>
      </c>
      <c r="M2" s="536">
        <v>2</v>
      </c>
      <c r="N2" s="536">
        <v>3</v>
      </c>
      <c r="O2" s="536">
        <v>4</v>
      </c>
      <c r="P2" s="537">
        <v>5</v>
      </c>
      <c r="Q2" s="537">
        <v>6</v>
      </c>
      <c r="R2" s="536">
        <v>7</v>
      </c>
      <c r="S2" s="536">
        <v>8</v>
      </c>
      <c r="T2" s="536">
        <v>9</v>
      </c>
      <c r="U2" s="536">
        <v>10</v>
      </c>
      <c r="V2" s="536">
        <v>11</v>
      </c>
      <c r="W2" s="536">
        <v>12</v>
      </c>
      <c r="X2" s="536">
        <v>13</v>
      </c>
      <c r="Y2" s="536">
        <v>14</v>
      </c>
      <c r="Z2" s="536">
        <v>15</v>
      </c>
      <c r="AA2" s="536">
        <v>16</v>
      </c>
      <c r="AB2" s="536">
        <v>17</v>
      </c>
      <c r="AC2" s="536">
        <v>18</v>
      </c>
      <c r="AD2" s="536">
        <v>19</v>
      </c>
      <c r="AE2" s="536">
        <v>20</v>
      </c>
      <c r="AF2" s="536">
        <v>21</v>
      </c>
      <c r="AG2" s="536">
        <v>22</v>
      </c>
      <c r="AH2" s="536">
        <v>23</v>
      </c>
      <c r="AI2" s="536">
        <v>24</v>
      </c>
      <c r="AJ2" s="536">
        <v>25</v>
      </c>
      <c r="AK2" s="536">
        <v>26</v>
      </c>
      <c r="AL2" s="536">
        <v>27</v>
      </c>
      <c r="AM2" s="536">
        <v>28</v>
      </c>
      <c r="AN2" s="536">
        <v>29</v>
      </c>
      <c r="AO2" s="536">
        <v>30</v>
      </c>
    </row>
    <row r="3" spans="1:41" s="21" customFormat="1" ht="41.25" customHeight="1" thickBot="1">
      <c r="A3" s="452" t="s">
        <v>1868</v>
      </c>
      <c r="B3" s="453" t="s">
        <v>12</v>
      </c>
      <c r="C3" s="453" t="s">
        <v>10</v>
      </c>
      <c r="D3" s="454" t="s">
        <v>14</v>
      </c>
      <c r="E3" s="453" t="s">
        <v>8</v>
      </c>
      <c r="F3" s="453" t="s">
        <v>1869</v>
      </c>
      <c r="G3" s="455" t="s">
        <v>1870</v>
      </c>
      <c r="H3" s="456" t="s">
        <v>1871</v>
      </c>
      <c r="I3" s="456" t="s">
        <v>1872</v>
      </c>
      <c r="J3" s="457" t="s">
        <v>1873</v>
      </c>
      <c r="K3" s="458" t="s">
        <v>1874</v>
      </c>
      <c r="L3" s="493" t="s">
        <v>50</v>
      </c>
      <c r="M3" s="493" t="s">
        <v>51</v>
      </c>
      <c r="N3" s="493" t="s">
        <v>51</v>
      </c>
      <c r="O3" s="493" t="s">
        <v>52</v>
      </c>
      <c r="P3" s="493" t="s">
        <v>53</v>
      </c>
      <c r="Q3" s="493" t="s">
        <v>54</v>
      </c>
      <c r="R3" s="445" t="s">
        <v>55</v>
      </c>
      <c r="S3" s="445" t="s">
        <v>50</v>
      </c>
      <c r="T3" s="493" t="s">
        <v>51</v>
      </c>
      <c r="U3" s="493" t="s">
        <v>51</v>
      </c>
      <c r="V3" s="493" t="s">
        <v>52</v>
      </c>
      <c r="W3" s="493" t="s">
        <v>53</v>
      </c>
      <c r="X3" s="493" t="s">
        <v>54</v>
      </c>
      <c r="Y3" s="445" t="s">
        <v>55</v>
      </c>
      <c r="Z3" s="445" t="s">
        <v>50</v>
      </c>
      <c r="AA3" s="493" t="s">
        <v>51</v>
      </c>
      <c r="AB3" s="493" t="s">
        <v>51</v>
      </c>
      <c r="AC3" s="493" t="s">
        <v>52</v>
      </c>
      <c r="AD3" s="493" t="s">
        <v>53</v>
      </c>
      <c r="AE3" s="493" t="s">
        <v>54</v>
      </c>
      <c r="AF3" s="445" t="s">
        <v>55</v>
      </c>
      <c r="AG3" s="493" t="s">
        <v>50</v>
      </c>
      <c r="AH3" s="493" t="s">
        <v>51</v>
      </c>
      <c r="AI3" s="493" t="s">
        <v>51</v>
      </c>
      <c r="AJ3" s="493" t="s">
        <v>52</v>
      </c>
      <c r="AK3" s="493" t="s">
        <v>53</v>
      </c>
      <c r="AL3" s="493" t="s">
        <v>54</v>
      </c>
      <c r="AM3" s="445" t="s">
        <v>55</v>
      </c>
      <c r="AN3" s="445" t="s">
        <v>50</v>
      </c>
      <c r="AO3" s="493" t="s">
        <v>51</v>
      </c>
    </row>
    <row r="4" spans="1:41" ht="15.6">
      <c r="A4" s="331" t="s">
        <v>57</v>
      </c>
      <c r="B4" s="332" t="s">
        <v>61</v>
      </c>
      <c r="C4" s="332" t="s">
        <v>60</v>
      </c>
      <c r="D4" s="333" t="s">
        <v>63</v>
      </c>
      <c r="E4" s="332" t="s">
        <v>58</v>
      </c>
      <c r="F4" s="334" t="s">
        <v>62</v>
      </c>
      <c r="G4" s="442">
        <v>307.86</v>
      </c>
      <c r="H4" s="428">
        <v>1</v>
      </c>
      <c r="I4" s="428">
        <v>30</v>
      </c>
      <c r="J4" s="459">
        <v>21</v>
      </c>
      <c r="K4" s="494" t="s">
        <v>1875</v>
      </c>
      <c r="L4" s="354" t="s">
        <v>1876</v>
      </c>
      <c r="M4" s="354" t="s">
        <v>1877</v>
      </c>
      <c r="N4" s="354" t="s">
        <v>1878</v>
      </c>
      <c r="O4" s="354" t="s">
        <v>1879</v>
      </c>
      <c r="P4" s="354" t="s">
        <v>1880</v>
      </c>
      <c r="Q4" s="354" t="s">
        <v>1881</v>
      </c>
      <c r="R4" s="355" t="s">
        <v>66</v>
      </c>
      <c r="S4" s="355" t="s">
        <v>66</v>
      </c>
      <c r="T4" s="354" t="s">
        <v>1882</v>
      </c>
      <c r="U4" s="354" t="s">
        <v>1883</v>
      </c>
      <c r="V4" s="354" t="s">
        <v>1884</v>
      </c>
      <c r="W4" s="354" t="s">
        <v>1885</v>
      </c>
      <c r="X4" s="354" t="s">
        <v>1886</v>
      </c>
      <c r="Y4" s="355" t="s">
        <v>66</v>
      </c>
      <c r="Z4" s="355" t="s">
        <v>66</v>
      </c>
      <c r="AA4" s="354" t="s">
        <v>1887</v>
      </c>
      <c r="AB4" s="354" t="s">
        <v>1888</v>
      </c>
      <c r="AC4" s="354" t="s">
        <v>1889</v>
      </c>
      <c r="AD4" s="354" t="s">
        <v>1890</v>
      </c>
      <c r="AE4" s="354" t="s">
        <v>1876</v>
      </c>
      <c r="AF4" s="355" t="s">
        <v>66</v>
      </c>
      <c r="AG4" s="354" t="s">
        <v>1877</v>
      </c>
      <c r="AH4" s="354" t="s">
        <v>1878</v>
      </c>
      <c r="AI4" s="354" t="s">
        <v>1879</v>
      </c>
      <c r="AJ4" s="354" t="s">
        <v>1880</v>
      </c>
      <c r="AK4" s="354" t="s">
        <v>1881</v>
      </c>
      <c r="AL4" s="354" t="s">
        <v>1882</v>
      </c>
      <c r="AM4" s="355" t="s">
        <v>66</v>
      </c>
      <c r="AN4" s="355" t="s">
        <v>66</v>
      </c>
      <c r="AO4" s="495" t="s">
        <v>1883</v>
      </c>
    </row>
    <row r="5" spans="1:41" ht="15.6">
      <c r="A5" s="335" t="s">
        <v>67</v>
      </c>
      <c r="B5" s="336" t="s">
        <v>69</v>
      </c>
      <c r="C5" s="336" t="s">
        <v>60</v>
      </c>
      <c r="D5" s="337" t="s">
        <v>63</v>
      </c>
      <c r="E5" s="336" t="s">
        <v>58</v>
      </c>
      <c r="F5" s="338" t="s">
        <v>62</v>
      </c>
      <c r="G5" s="443">
        <v>146.6</v>
      </c>
      <c r="H5" s="358">
        <v>1</v>
      </c>
      <c r="I5" s="358">
        <v>30</v>
      </c>
      <c r="J5" s="460">
        <v>20</v>
      </c>
      <c r="K5" s="496" t="s">
        <v>1891</v>
      </c>
      <c r="L5" s="356" t="s">
        <v>1891</v>
      </c>
      <c r="M5" s="356" t="s">
        <v>1891</v>
      </c>
      <c r="N5" s="356" t="s">
        <v>1891</v>
      </c>
      <c r="O5" s="356" t="s">
        <v>1891</v>
      </c>
      <c r="P5" s="356" t="s">
        <v>1891</v>
      </c>
      <c r="Q5" s="356" t="s">
        <v>1891</v>
      </c>
      <c r="R5" s="467" t="s">
        <v>66</v>
      </c>
      <c r="S5" s="467" t="s">
        <v>66</v>
      </c>
      <c r="T5" s="356" t="s">
        <v>1891</v>
      </c>
      <c r="U5" s="356" t="s">
        <v>1891</v>
      </c>
      <c r="V5" s="356" t="s">
        <v>1891</v>
      </c>
      <c r="W5" s="356" t="s">
        <v>1891</v>
      </c>
      <c r="X5" s="356" t="s">
        <v>1891</v>
      </c>
      <c r="Y5" s="467" t="s">
        <v>66</v>
      </c>
      <c r="Z5" s="467" t="s">
        <v>66</v>
      </c>
      <c r="AA5" s="356" t="s">
        <v>1891</v>
      </c>
      <c r="AB5" s="356" t="s">
        <v>1891</v>
      </c>
      <c r="AC5" s="356" t="s">
        <v>1891</v>
      </c>
      <c r="AD5" s="356" t="s">
        <v>1891</v>
      </c>
      <c r="AE5" s="356" t="s">
        <v>1891</v>
      </c>
      <c r="AF5" s="467" t="s">
        <v>66</v>
      </c>
      <c r="AG5" s="356" t="s">
        <v>1891</v>
      </c>
      <c r="AH5" s="356" t="s">
        <v>1891</v>
      </c>
      <c r="AI5" s="356" t="s">
        <v>1891</v>
      </c>
      <c r="AJ5" s="356" t="s">
        <v>1891</v>
      </c>
      <c r="AK5" s="356" t="s">
        <v>1891</v>
      </c>
      <c r="AL5" s="356" t="s">
        <v>1891</v>
      </c>
      <c r="AM5" s="467" t="s">
        <v>66</v>
      </c>
      <c r="AN5" s="467" t="s">
        <v>66</v>
      </c>
      <c r="AO5" s="497" t="s">
        <v>1891</v>
      </c>
    </row>
    <row r="6" spans="1:41" ht="15.6">
      <c r="A6" s="335" t="s">
        <v>72</v>
      </c>
      <c r="B6" s="336" t="s">
        <v>74</v>
      </c>
      <c r="C6" s="336" t="s">
        <v>60</v>
      </c>
      <c r="D6" s="337" t="s">
        <v>63</v>
      </c>
      <c r="E6" s="336" t="s">
        <v>58</v>
      </c>
      <c r="F6" s="338" t="s">
        <v>62</v>
      </c>
      <c r="G6" s="443">
        <v>153.93</v>
      </c>
      <c r="H6" s="358">
        <v>1</v>
      </c>
      <c r="I6" s="358">
        <v>30</v>
      </c>
      <c r="J6" s="460">
        <v>21</v>
      </c>
      <c r="K6" s="498" t="s">
        <v>1891</v>
      </c>
      <c r="L6" s="356" t="s">
        <v>1891</v>
      </c>
      <c r="M6" s="356" t="s">
        <v>1891</v>
      </c>
      <c r="N6" s="356" t="s">
        <v>1891</v>
      </c>
      <c r="O6" s="356" t="s">
        <v>1891</v>
      </c>
      <c r="P6" s="356" t="s">
        <v>1891</v>
      </c>
      <c r="Q6" s="356" t="s">
        <v>1891</v>
      </c>
      <c r="R6" s="467" t="s">
        <v>66</v>
      </c>
      <c r="S6" s="467" t="s">
        <v>66</v>
      </c>
      <c r="T6" s="356" t="s">
        <v>1891</v>
      </c>
      <c r="U6" s="356" t="s">
        <v>1891</v>
      </c>
      <c r="V6" s="356" t="s">
        <v>1891</v>
      </c>
      <c r="W6" s="356" t="s">
        <v>1891</v>
      </c>
      <c r="X6" s="356" t="s">
        <v>1891</v>
      </c>
      <c r="Y6" s="467" t="s">
        <v>66</v>
      </c>
      <c r="Z6" s="467" t="s">
        <v>66</v>
      </c>
      <c r="AA6" s="356" t="s">
        <v>1891</v>
      </c>
      <c r="AB6" s="356" t="s">
        <v>1891</v>
      </c>
      <c r="AC6" s="356" t="s">
        <v>1891</v>
      </c>
      <c r="AD6" s="356" t="s">
        <v>1891</v>
      </c>
      <c r="AE6" s="356" t="s">
        <v>1891</v>
      </c>
      <c r="AF6" s="467" t="s">
        <v>66</v>
      </c>
      <c r="AG6" s="356" t="s">
        <v>1891</v>
      </c>
      <c r="AH6" s="356" t="s">
        <v>1891</v>
      </c>
      <c r="AI6" s="356" t="s">
        <v>1891</v>
      </c>
      <c r="AJ6" s="356" t="s">
        <v>1891</v>
      </c>
      <c r="AK6" s="356" t="s">
        <v>1891</v>
      </c>
      <c r="AL6" s="356" t="s">
        <v>1891</v>
      </c>
      <c r="AM6" s="467" t="s">
        <v>66</v>
      </c>
      <c r="AN6" s="467" t="s">
        <v>66</v>
      </c>
      <c r="AO6" s="497" t="s">
        <v>1891</v>
      </c>
    </row>
    <row r="7" spans="1:41" ht="15.6">
      <c r="A7" s="335" t="s">
        <v>75</v>
      </c>
      <c r="B7" s="336" t="s">
        <v>79</v>
      </c>
      <c r="C7" s="336" t="s">
        <v>78</v>
      </c>
      <c r="D7" s="337" t="s">
        <v>63</v>
      </c>
      <c r="E7" s="336" t="s">
        <v>58</v>
      </c>
      <c r="F7" s="338" t="s">
        <v>62</v>
      </c>
      <c r="G7" s="443">
        <v>307.86</v>
      </c>
      <c r="H7" s="358">
        <v>1</v>
      </c>
      <c r="I7" s="358">
        <v>30</v>
      </c>
      <c r="J7" s="460">
        <v>21</v>
      </c>
      <c r="K7" s="498" t="s">
        <v>1892</v>
      </c>
      <c r="L7" s="369" t="s">
        <v>1892</v>
      </c>
      <c r="M7" s="369" t="s">
        <v>1892</v>
      </c>
      <c r="N7" s="369" t="s">
        <v>1892</v>
      </c>
      <c r="O7" s="369" t="s">
        <v>1892</v>
      </c>
      <c r="P7" s="369" t="s">
        <v>1892</v>
      </c>
      <c r="Q7" s="369" t="s">
        <v>1892</v>
      </c>
      <c r="R7" s="467" t="s">
        <v>66</v>
      </c>
      <c r="S7" s="467" t="s">
        <v>66</v>
      </c>
      <c r="T7" s="369" t="s">
        <v>1892</v>
      </c>
      <c r="U7" s="369" t="s">
        <v>1892</v>
      </c>
      <c r="V7" s="369" t="s">
        <v>1892</v>
      </c>
      <c r="W7" s="369" t="s">
        <v>1892</v>
      </c>
      <c r="X7" s="369" t="s">
        <v>1892</v>
      </c>
      <c r="Y7" s="467" t="s">
        <v>66</v>
      </c>
      <c r="Z7" s="467" t="s">
        <v>66</v>
      </c>
      <c r="AA7" s="369" t="s">
        <v>1892</v>
      </c>
      <c r="AB7" s="369" t="s">
        <v>1892</v>
      </c>
      <c r="AC7" s="369" t="s">
        <v>1892</v>
      </c>
      <c r="AD7" s="369" t="s">
        <v>1892</v>
      </c>
      <c r="AE7" s="369" t="s">
        <v>1892</v>
      </c>
      <c r="AF7" s="467" t="s">
        <v>66</v>
      </c>
      <c r="AG7" s="369" t="s">
        <v>1892</v>
      </c>
      <c r="AH7" s="369" t="s">
        <v>1892</v>
      </c>
      <c r="AI7" s="369" t="s">
        <v>1892</v>
      </c>
      <c r="AJ7" s="369" t="s">
        <v>1892</v>
      </c>
      <c r="AK7" s="369" t="s">
        <v>1892</v>
      </c>
      <c r="AL7" s="369" t="s">
        <v>1892</v>
      </c>
      <c r="AM7" s="467" t="s">
        <v>66</v>
      </c>
      <c r="AN7" s="467" t="s">
        <v>66</v>
      </c>
      <c r="AO7" s="499" t="s">
        <v>1892</v>
      </c>
    </row>
    <row r="8" spans="1:41" ht="15.6">
      <c r="A8" s="335" t="s">
        <v>80</v>
      </c>
      <c r="B8" s="336" t="s">
        <v>69</v>
      </c>
      <c r="C8" s="336" t="s">
        <v>78</v>
      </c>
      <c r="D8" s="337" t="s">
        <v>63</v>
      </c>
      <c r="E8" s="336" t="s">
        <v>58</v>
      </c>
      <c r="F8" s="338" t="s">
        <v>62</v>
      </c>
      <c r="G8" s="443">
        <v>307.86</v>
      </c>
      <c r="H8" s="358">
        <v>1</v>
      </c>
      <c r="I8" s="358">
        <v>30</v>
      </c>
      <c r="J8" s="460">
        <v>21</v>
      </c>
      <c r="K8" s="498" t="s">
        <v>1893</v>
      </c>
      <c r="L8" s="375" t="s">
        <v>1893</v>
      </c>
      <c r="M8" s="375" t="s">
        <v>1893</v>
      </c>
      <c r="N8" s="375" t="s">
        <v>1893</v>
      </c>
      <c r="O8" s="375" t="s">
        <v>1893</v>
      </c>
      <c r="P8" s="375" t="s">
        <v>1893</v>
      </c>
      <c r="Q8" s="375" t="s">
        <v>1893</v>
      </c>
      <c r="R8" s="467" t="s">
        <v>66</v>
      </c>
      <c r="S8" s="467" t="s">
        <v>66</v>
      </c>
      <c r="T8" s="375" t="s">
        <v>1893</v>
      </c>
      <c r="U8" s="375" t="s">
        <v>1893</v>
      </c>
      <c r="V8" s="375" t="s">
        <v>1893</v>
      </c>
      <c r="W8" s="375" t="s">
        <v>1893</v>
      </c>
      <c r="X8" s="375" t="s">
        <v>1893</v>
      </c>
      <c r="Y8" s="467" t="s">
        <v>66</v>
      </c>
      <c r="Z8" s="467" t="s">
        <v>66</v>
      </c>
      <c r="AA8" s="375" t="s">
        <v>1893</v>
      </c>
      <c r="AB8" s="375" t="s">
        <v>1893</v>
      </c>
      <c r="AC8" s="375" t="s">
        <v>1893</v>
      </c>
      <c r="AD8" s="375" t="s">
        <v>1893</v>
      </c>
      <c r="AE8" s="375" t="s">
        <v>1893</v>
      </c>
      <c r="AF8" s="467" t="s">
        <v>66</v>
      </c>
      <c r="AG8" s="375" t="s">
        <v>1893</v>
      </c>
      <c r="AH8" s="375" t="s">
        <v>1893</v>
      </c>
      <c r="AI8" s="375" t="s">
        <v>1893</v>
      </c>
      <c r="AJ8" s="375" t="s">
        <v>1893</v>
      </c>
      <c r="AK8" s="375" t="s">
        <v>1893</v>
      </c>
      <c r="AL8" s="375" t="s">
        <v>1893</v>
      </c>
      <c r="AM8" s="467" t="s">
        <v>66</v>
      </c>
      <c r="AN8" s="467" t="s">
        <v>66</v>
      </c>
      <c r="AO8" s="500" t="s">
        <v>1893</v>
      </c>
    </row>
    <row r="9" spans="1:41" ht="16.149999999999999" thickBot="1">
      <c r="A9" s="339" t="s">
        <v>83</v>
      </c>
      <c r="B9" s="340" t="s">
        <v>74</v>
      </c>
      <c r="C9" s="340" t="s">
        <v>60</v>
      </c>
      <c r="D9" s="341" t="s">
        <v>63</v>
      </c>
      <c r="E9" s="340" t="s">
        <v>58</v>
      </c>
      <c r="F9" s="342" t="s">
        <v>62</v>
      </c>
      <c r="G9" s="446">
        <v>153.93</v>
      </c>
      <c r="H9" s="362">
        <v>1</v>
      </c>
      <c r="I9" s="362">
        <v>30</v>
      </c>
      <c r="J9" s="461">
        <v>21</v>
      </c>
      <c r="K9" s="501" t="s">
        <v>1894</v>
      </c>
      <c r="L9" s="462" t="s">
        <v>1894</v>
      </c>
      <c r="M9" s="462" t="s">
        <v>1894</v>
      </c>
      <c r="N9" s="462" t="s">
        <v>1894</v>
      </c>
      <c r="O9" s="462" t="s">
        <v>1894</v>
      </c>
      <c r="P9" s="462" t="s">
        <v>1894</v>
      </c>
      <c r="Q9" s="462" t="s">
        <v>1894</v>
      </c>
      <c r="R9" s="502" t="s">
        <v>66</v>
      </c>
      <c r="S9" s="502" t="s">
        <v>66</v>
      </c>
      <c r="T9" s="462" t="s">
        <v>1894</v>
      </c>
      <c r="U9" s="462" t="s">
        <v>1894</v>
      </c>
      <c r="V9" s="462" t="s">
        <v>1894</v>
      </c>
      <c r="W9" s="462" t="s">
        <v>1894</v>
      </c>
      <c r="X9" s="462" t="s">
        <v>1894</v>
      </c>
      <c r="Y9" s="502" t="s">
        <v>66</v>
      </c>
      <c r="Z9" s="502" t="s">
        <v>66</v>
      </c>
      <c r="AA9" s="462" t="s">
        <v>1894</v>
      </c>
      <c r="AB9" s="462" t="s">
        <v>1894</v>
      </c>
      <c r="AC9" s="462" t="s">
        <v>1894</v>
      </c>
      <c r="AD9" s="462" t="s">
        <v>1894</v>
      </c>
      <c r="AE9" s="462" t="s">
        <v>1894</v>
      </c>
      <c r="AF9" s="502" t="s">
        <v>66</v>
      </c>
      <c r="AG9" s="462" t="s">
        <v>1894</v>
      </c>
      <c r="AH9" s="462" t="s">
        <v>1894</v>
      </c>
      <c r="AI9" s="462" t="s">
        <v>1894</v>
      </c>
      <c r="AJ9" s="462" t="s">
        <v>1894</v>
      </c>
      <c r="AK9" s="462" t="s">
        <v>1894</v>
      </c>
      <c r="AL9" s="462" t="s">
        <v>1894</v>
      </c>
      <c r="AM9" s="502" t="s">
        <v>66</v>
      </c>
      <c r="AN9" s="502" t="s">
        <v>66</v>
      </c>
      <c r="AO9" s="503" t="s">
        <v>1894</v>
      </c>
    </row>
    <row r="10" spans="1:41" ht="15.6">
      <c r="A10" s="343" t="s">
        <v>85</v>
      </c>
      <c r="B10" s="332" t="s">
        <v>87</v>
      </c>
      <c r="C10" s="332" t="s">
        <v>60</v>
      </c>
      <c r="D10" s="332" t="s">
        <v>89</v>
      </c>
      <c r="E10" s="332" t="s">
        <v>58</v>
      </c>
      <c r="F10" s="332" t="s">
        <v>88</v>
      </c>
      <c r="G10" s="434">
        <v>8</v>
      </c>
      <c r="H10" s="428">
        <v>24</v>
      </c>
      <c r="I10" s="428">
        <v>24</v>
      </c>
      <c r="J10" s="459">
        <v>0.54570259208731242</v>
      </c>
      <c r="K10" s="494">
        <v>2</v>
      </c>
      <c r="L10" s="448"/>
      <c r="M10" s="448"/>
      <c r="N10" s="448"/>
      <c r="O10" s="448"/>
      <c r="P10" s="448"/>
      <c r="Q10" s="448"/>
      <c r="R10" s="355" t="s">
        <v>66</v>
      </c>
      <c r="S10" s="355" t="s">
        <v>66</v>
      </c>
      <c r="T10" s="448"/>
      <c r="U10" s="448"/>
      <c r="V10" s="448"/>
      <c r="W10" s="448"/>
      <c r="X10" s="448"/>
      <c r="Y10" s="355" t="s">
        <v>66</v>
      </c>
      <c r="Z10" s="355" t="s">
        <v>66</v>
      </c>
      <c r="AA10" s="448"/>
      <c r="AB10" s="448"/>
      <c r="AC10" s="448"/>
      <c r="AD10" s="448"/>
      <c r="AE10" s="448"/>
      <c r="AF10" s="355" t="s">
        <v>66</v>
      </c>
      <c r="AG10" s="448"/>
      <c r="AH10" s="448"/>
      <c r="AI10" s="477">
        <v>2</v>
      </c>
      <c r="AJ10" s="448"/>
      <c r="AK10" s="448"/>
      <c r="AL10" s="448"/>
      <c r="AM10" s="355" t="s">
        <v>66</v>
      </c>
      <c r="AN10" s="355" t="s">
        <v>66</v>
      </c>
      <c r="AO10" s="504"/>
    </row>
    <row r="11" spans="1:41" ht="15.6">
      <c r="A11" s="344" t="s">
        <v>90</v>
      </c>
      <c r="B11" s="336" t="s">
        <v>87</v>
      </c>
      <c r="C11" s="336" t="s">
        <v>60</v>
      </c>
      <c r="D11" s="336" t="s">
        <v>89</v>
      </c>
      <c r="E11" s="336" t="s">
        <v>58</v>
      </c>
      <c r="F11" s="336" t="s">
        <v>88</v>
      </c>
      <c r="G11" s="435">
        <v>8</v>
      </c>
      <c r="H11" s="358">
        <v>27</v>
      </c>
      <c r="I11" s="358">
        <v>27</v>
      </c>
      <c r="J11" s="460">
        <v>0.54570259208731242</v>
      </c>
      <c r="K11" s="496">
        <v>4</v>
      </c>
      <c r="L11" s="93"/>
      <c r="M11" s="93"/>
      <c r="N11" s="93"/>
      <c r="O11" s="93"/>
      <c r="P11" s="93"/>
      <c r="Q11" s="93"/>
      <c r="R11" s="357" t="s">
        <v>66</v>
      </c>
      <c r="S11" s="357" t="s">
        <v>66</v>
      </c>
      <c r="T11" s="93"/>
      <c r="U11" s="93"/>
      <c r="V11" s="93"/>
      <c r="W11" s="93"/>
      <c r="X11" s="93"/>
      <c r="Y11" s="357" t="s">
        <v>66</v>
      </c>
      <c r="Z11" s="357" t="s">
        <v>66</v>
      </c>
      <c r="AA11" s="93"/>
      <c r="AB11" s="93"/>
      <c r="AC11" s="93"/>
      <c r="AD11" s="93"/>
      <c r="AE11" s="93"/>
      <c r="AF11" s="357" t="s">
        <v>66</v>
      </c>
      <c r="AG11" s="93"/>
      <c r="AH11" s="93"/>
      <c r="AI11" s="93"/>
      <c r="AJ11" s="93"/>
      <c r="AK11" s="93"/>
      <c r="AL11" s="479">
        <v>4</v>
      </c>
      <c r="AM11" s="357" t="s">
        <v>66</v>
      </c>
      <c r="AN11" s="357" t="s">
        <v>66</v>
      </c>
      <c r="AO11" s="505"/>
    </row>
    <row r="12" spans="1:41" ht="16.149999999999999" thickBot="1">
      <c r="A12" s="344" t="s">
        <v>92</v>
      </c>
      <c r="B12" s="336" t="s">
        <v>87</v>
      </c>
      <c r="C12" s="336" t="s">
        <v>60</v>
      </c>
      <c r="D12" s="336" t="s">
        <v>89</v>
      </c>
      <c r="E12" s="336" t="s">
        <v>58</v>
      </c>
      <c r="F12" s="336" t="s">
        <v>88</v>
      </c>
      <c r="G12" s="435">
        <v>8</v>
      </c>
      <c r="H12" s="358">
        <v>30</v>
      </c>
      <c r="I12" s="358">
        <v>30</v>
      </c>
      <c r="J12" s="460">
        <v>0.54570259208731242</v>
      </c>
      <c r="K12" s="496">
        <v>4</v>
      </c>
      <c r="L12" s="475"/>
      <c r="M12" s="475"/>
      <c r="N12" s="475"/>
      <c r="O12" s="475"/>
      <c r="P12" s="475"/>
      <c r="Q12" s="475"/>
      <c r="R12" s="357" t="s">
        <v>66</v>
      </c>
      <c r="S12" s="357" t="s">
        <v>66</v>
      </c>
      <c r="T12" s="93"/>
      <c r="U12" s="93"/>
      <c r="V12" s="93"/>
      <c r="W12" s="93"/>
      <c r="X12" s="93"/>
      <c r="Y12" s="357" t="s">
        <v>66</v>
      </c>
      <c r="Z12" s="357" t="s">
        <v>66</v>
      </c>
      <c r="AA12" s="93"/>
      <c r="AB12" s="93"/>
      <c r="AC12" s="93"/>
      <c r="AD12" s="93"/>
      <c r="AE12" s="93"/>
      <c r="AF12" s="357" t="s">
        <v>66</v>
      </c>
      <c r="AG12" s="93"/>
      <c r="AH12" s="93"/>
      <c r="AI12" s="93"/>
      <c r="AJ12" s="93"/>
      <c r="AK12" s="93"/>
      <c r="AL12" s="93"/>
      <c r="AM12" s="357" t="s">
        <v>66</v>
      </c>
      <c r="AN12" s="357" t="s">
        <v>66</v>
      </c>
      <c r="AO12" s="506">
        <v>4</v>
      </c>
    </row>
    <row r="13" spans="1:41" ht="16.149999999999999" thickBot="1">
      <c r="A13" s="344" t="s">
        <v>94</v>
      </c>
      <c r="B13" s="336" t="s">
        <v>87</v>
      </c>
      <c r="C13" s="336" t="s">
        <v>60</v>
      </c>
      <c r="D13" s="336" t="s">
        <v>89</v>
      </c>
      <c r="E13" s="336" t="s">
        <v>58</v>
      </c>
      <c r="F13" s="336" t="s">
        <v>88</v>
      </c>
      <c r="G13" s="435">
        <v>8</v>
      </c>
      <c r="H13" s="358">
        <v>27</v>
      </c>
      <c r="I13" s="358">
        <v>27</v>
      </c>
      <c r="J13" s="460">
        <v>0.54570259208731242</v>
      </c>
      <c r="K13" s="496">
        <v>2</v>
      </c>
      <c r="L13" s="93"/>
      <c r="M13" s="93"/>
      <c r="N13" s="93"/>
      <c r="O13" s="93"/>
      <c r="P13" s="93"/>
      <c r="Q13" s="93"/>
      <c r="R13" s="357" t="s">
        <v>66</v>
      </c>
      <c r="S13" s="357" t="s">
        <v>66</v>
      </c>
      <c r="T13" s="93"/>
      <c r="U13" s="93"/>
      <c r="V13" s="93"/>
      <c r="W13" s="93"/>
      <c r="X13" s="93"/>
      <c r="Y13" s="357" t="s">
        <v>66</v>
      </c>
      <c r="Z13" s="357" t="s">
        <v>66</v>
      </c>
      <c r="AA13" s="93"/>
      <c r="AB13" s="93"/>
      <c r="AC13" s="93"/>
      <c r="AD13" s="93"/>
      <c r="AE13" s="93"/>
      <c r="AF13" s="357" t="s">
        <v>66</v>
      </c>
      <c r="AG13" s="93"/>
      <c r="AH13" s="93"/>
      <c r="AI13" s="93"/>
      <c r="AJ13" s="93"/>
      <c r="AK13" s="93"/>
      <c r="AL13" s="477">
        <v>2</v>
      </c>
      <c r="AM13" s="357" t="s">
        <v>66</v>
      </c>
      <c r="AN13" s="357" t="s">
        <v>66</v>
      </c>
      <c r="AO13" s="505"/>
    </row>
    <row r="14" spans="1:41" ht="16.149999999999999" thickBot="1">
      <c r="A14" s="344" t="s">
        <v>96</v>
      </c>
      <c r="B14" s="336" t="s">
        <v>87</v>
      </c>
      <c r="C14" s="336" t="s">
        <v>60</v>
      </c>
      <c r="D14" s="336" t="s">
        <v>89</v>
      </c>
      <c r="E14" s="336" t="s">
        <v>58</v>
      </c>
      <c r="F14" s="336" t="s">
        <v>88</v>
      </c>
      <c r="G14" s="435">
        <v>8</v>
      </c>
      <c r="H14" s="358">
        <v>25</v>
      </c>
      <c r="I14" s="358">
        <v>25</v>
      </c>
      <c r="J14" s="460">
        <v>0.54570259208731242</v>
      </c>
      <c r="K14" s="496">
        <v>2</v>
      </c>
      <c r="L14" s="93"/>
      <c r="M14" s="93"/>
      <c r="N14" s="93"/>
      <c r="O14" s="93"/>
      <c r="P14" s="93"/>
      <c r="Q14" s="93"/>
      <c r="R14" s="357" t="s">
        <v>66</v>
      </c>
      <c r="S14" s="357" t="s">
        <v>66</v>
      </c>
      <c r="T14" s="93"/>
      <c r="U14" s="93"/>
      <c r="V14" s="93"/>
      <c r="W14" s="93"/>
      <c r="X14" s="93"/>
      <c r="Y14" s="357" t="s">
        <v>66</v>
      </c>
      <c r="Z14" s="357" t="s">
        <v>66</v>
      </c>
      <c r="AA14" s="93"/>
      <c r="AB14" s="93"/>
      <c r="AC14" s="93"/>
      <c r="AD14" s="93"/>
      <c r="AE14" s="93"/>
      <c r="AF14" s="357" t="s">
        <v>66</v>
      </c>
      <c r="AG14" s="93"/>
      <c r="AH14" s="93"/>
      <c r="AI14" s="93"/>
      <c r="AJ14" s="477">
        <v>2</v>
      </c>
      <c r="AK14" s="93"/>
      <c r="AL14" s="93"/>
      <c r="AM14" s="357" t="s">
        <v>66</v>
      </c>
      <c r="AN14" s="357" t="s">
        <v>66</v>
      </c>
      <c r="AO14" s="505"/>
    </row>
    <row r="15" spans="1:41" ht="16.149999999999999" thickBot="1">
      <c r="A15" s="344" t="s">
        <v>98</v>
      </c>
      <c r="B15" s="336" t="s">
        <v>87</v>
      </c>
      <c r="C15" s="336" t="s">
        <v>60</v>
      </c>
      <c r="D15" s="336" t="s">
        <v>89</v>
      </c>
      <c r="E15" s="336" t="s">
        <v>58</v>
      </c>
      <c r="F15" s="336" t="s">
        <v>88</v>
      </c>
      <c r="G15" s="435">
        <v>8</v>
      </c>
      <c r="H15" s="358">
        <v>26</v>
      </c>
      <c r="I15" s="358">
        <v>26</v>
      </c>
      <c r="J15" s="460">
        <v>0.54570259208731242</v>
      </c>
      <c r="K15" s="496">
        <v>2</v>
      </c>
      <c r="L15" s="93"/>
      <c r="M15" s="93"/>
      <c r="N15" s="93"/>
      <c r="O15" s="93"/>
      <c r="P15" s="93"/>
      <c r="Q15" s="93"/>
      <c r="R15" s="357" t="s">
        <v>66</v>
      </c>
      <c r="S15" s="357" t="s">
        <v>66</v>
      </c>
      <c r="T15" s="93"/>
      <c r="U15" s="93"/>
      <c r="V15" s="93"/>
      <c r="W15" s="93"/>
      <c r="X15" s="93"/>
      <c r="Y15" s="357" t="s">
        <v>66</v>
      </c>
      <c r="Z15" s="357" t="s">
        <v>66</v>
      </c>
      <c r="AA15" s="93"/>
      <c r="AB15" s="93"/>
      <c r="AC15" s="93"/>
      <c r="AD15" s="93"/>
      <c r="AE15" s="93"/>
      <c r="AF15" s="357" t="s">
        <v>66</v>
      </c>
      <c r="AG15" s="93"/>
      <c r="AH15" s="93"/>
      <c r="AI15" s="93"/>
      <c r="AJ15" s="93"/>
      <c r="AK15" s="477">
        <v>2</v>
      </c>
      <c r="AL15" s="93"/>
      <c r="AM15" s="357" t="s">
        <v>66</v>
      </c>
      <c r="AN15" s="357" t="s">
        <v>66</v>
      </c>
      <c r="AO15" s="505"/>
    </row>
    <row r="16" spans="1:41" ht="16.149999999999999" thickBot="1">
      <c r="A16" s="344" t="s">
        <v>100</v>
      </c>
      <c r="B16" s="336" t="s">
        <v>87</v>
      </c>
      <c r="C16" s="336" t="s">
        <v>60</v>
      </c>
      <c r="D16" s="336" t="s">
        <v>89</v>
      </c>
      <c r="E16" s="336" t="s">
        <v>58</v>
      </c>
      <c r="F16" s="336" t="s">
        <v>88</v>
      </c>
      <c r="G16" s="435">
        <v>8</v>
      </c>
      <c r="H16" s="358">
        <v>30</v>
      </c>
      <c r="I16" s="358">
        <v>30</v>
      </c>
      <c r="J16" s="460">
        <v>0.54570259208731242</v>
      </c>
      <c r="K16" s="496">
        <v>2</v>
      </c>
      <c r="L16" s="93"/>
      <c r="M16" s="93"/>
      <c r="N16" s="93"/>
      <c r="O16" s="93"/>
      <c r="P16" s="93"/>
      <c r="Q16" s="93"/>
      <c r="R16" s="357" t="s">
        <v>66</v>
      </c>
      <c r="S16" s="357" t="s">
        <v>66</v>
      </c>
      <c r="T16" s="93"/>
      <c r="U16" s="93"/>
      <c r="V16" s="93"/>
      <c r="W16" s="93"/>
      <c r="X16" s="93"/>
      <c r="Y16" s="357" t="s">
        <v>66</v>
      </c>
      <c r="Z16" s="357" t="s">
        <v>66</v>
      </c>
      <c r="AA16" s="93"/>
      <c r="AB16" s="93"/>
      <c r="AC16" s="93"/>
      <c r="AD16" s="93"/>
      <c r="AE16" s="93"/>
      <c r="AF16" s="357" t="s">
        <v>66</v>
      </c>
      <c r="AG16" s="93"/>
      <c r="AH16" s="93"/>
      <c r="AI16" s="93"/>
      <c r="AJ16" s="93"/>
      <c r="AK16" s="93"/>
      <c r="AL16" s="93"/>
      <c r="AM16" s="357" t="s">
        <v>66</v>
      </c>
      <c r="AN16" s="357" t="s">
        <v>66</v>
      </c>
      <c r="AO16" s="507">
        <v>2</v>
      </c>
    </row>
    <row r="17" spans="1:41" ht="15.6">
      <c r="A17" s="344" t="s">
        <v>102</v>
      </c>
      <c r="B17" s="336" t="s">
        <v>87</v>
      </c>
      <c r="C17" s="336" t="s">
        <v>60</v>
      </c>
      <c r="D17" s="336" t="s">
        <v>89</v>
      </c>
      <c r="E17" s="336" t="s">
        <v>58</v>
      </c>
      <c r="F17" s="336" t="s">
        <v>88</v>
      </c>
      <c r="G17" s="435">
        <v>8</v>
      </c>
      <c r="H17" s="358">
        <v>24</v>
      </c>
      <c r="I17" s="358">
        <v>24</v>
      </c>
      <c r="J17" s="460">
        <v>0.54570259208731242</v>
      </c>
      <c r="K17" s="496">
        <v>2</v>
      </c>
      <c r="L17" s="93"/>
      <c r="M17" s="93"/>
      <c r="N17" s="93"/>
      <c r="O17" s="93"/>
      <c r="P17" s="93"/>
      <c r="Q17" s="93"/>
      <c r="R17" s="357" t="s">
        <v>66</v>
      </c>
      <c r="S17" s="357" t="s">
        <v>66</v>
      </c>
      <c r="T17" s="93"/>
      <c r="U17" s="93"/>
      <c r="V17" s="93"/>
      <c r="W17" s="93"/>
      <c r="X17" s="93"/>
      <c r="Y17" s="357" t="s">
        <v>66</v>
      </c>
      <c r="Z17" s="357" t="s">
        <v>66</v>
      </c>
      <c r="AA17" s="93"/>
      <c r="AB17" s="93"/>
      <c r="AC17" s="93"/>
      <c r="AD17" s="93"/>
      <c r="AE17" s="93"/>
      <c r="AF17" s="357" t="s">
        <v>66</v>
      </c>
      <c r="AG17" s="93"/>
      <c r="AH17" s="93"/>
      <c r="AI17" s="477">
        <v>2</v>
      </c>
      <c r="AJ17" s="93"/>
      <c r="AK17" s="93"/>
      <c r="AL17" s="93"/>
      <c r="AM17" s="357" t="s">
        <v>66</v>
      </c>
      <c r="AN17" s="357" t="s">
        <v>66</v>
      </c>
      <c r="AO17" s="505"/>
    </row>
    <row r="18" spans="1:41" ht="15.6">
      <c r="A18" s="347" t="s">
        <v>104</v>
      </c>
      <c r="B18" s="336" t="s">
        <v>74</v>
      </c>
      <c r="C18" s="336" t="s">
        <v>78</v>
      </c>
      <c r="D18" s="336" t="s">
        <v>106</v>
      </c>
      <c r="E18" s="336" t="s">
        <v>58</v>
      </c>
      <c r="F18" s="336" t="s">
        <v>88</v>
      </c>
      <c r="G18" s="435">
        <v>124</v>
      </c>
      <c r="H18" s="358">
        <v>1</v>
      </c>
      <c r="I18" s="358">
        <v>11</v>
      </c>
      <c r="J18" s="460">
        <v>8.4583901773533423</v>
      </c>
      <c r="K18" s="496">
        <v>4</v>
      </c>
      <c r="L18" s="479">
        <v>4</v>
      </c>
      <c r="M18" s="479">
        <v>4</v>
      </c>
      <c r="N18" s="479">
        <v>4</v>
      </c>
      <c r="O18" s="479">
        <v>4</v>
      </c>
      <c r="P18" s="479">
        <v>4</v>
      </c>
      <c r="Q18" s="479">
        <v>4</v>
      </c>
      <c r="R18" s="357" t="s">
        <v>66</v>
      </c>
      <c r="S18" s="357" t="s">
        <v>66</v>
      </c>
      <c r="T18" s="479">
        <v>4</v>
      </c>
      <c r="U18" s="479">
        <v>4</v>
      </c>
      <c r="V18" s="479">
        <v>4</v>
      </c>
      <c r="W18" s="93"/>
      <c r="X18" s="93"/>
      <c r="Y18" s="357" t="s">
        <v>66</v>
      </c>
      <c r="Z18" s="357" t="s">
        <v>66</v>
      </c>
      <c r="AA18" s="93"/>
      <c r="AB18" s="93"/>
      <c r="AC18" s="93"/>
      <c r="AD18" s="93"/>
      <c r="AE18" s="93"/>
      <c r="AF18" s="357" t="s">
        <v>66</v>
      </c>
      <c r="AG18" s="93"/>
      <c r="AH18" s="93"/>
      <c r="AI18" s="93"/>
      <c r="AJ18" s="93"/>
      <c r="AK18" s="93"/>
      <c r="AL18" s="93"/>
      <c r="AM18" s="357" t="s">
        <v>66</v>
      </c>
      <c r="AN18" s="357" t="s">
        <v>66</v>
      </c>
      <c r="AO18" s="505"/>
    </row>
    <row r="19" spans="1:41" ht="15.6">
      <c r="A19" s="347" t="s">
        <v>108</v>
      </c>
      <c r="B19" s="336" t="s">
        <v>69</v>
      </c>
      <c r="C19" s="336" t="s">
        <v>60</v>
      </c>
      <c r="D19" s="336" t="s">
        <v>106</v>
      </c>
      <c r="E19" s="336" t="s">
        <v>58</v>
      </c>
      <c r="F19" s="336" t="s">
        <v>88</v>
      </c>
      <c r="G19" s="435">
        <v>88</v>
      </c>
      <c r="H19" s="358">
        <v>12</v>
      </c>
      <c r="I19" s="358">
        <v>20</v>
      </c>
      <c r="J19" s="460">
        <v>6.0027285129604362</v>
      </c>
      <c r="K19" s="496">
        <v>4</v>
      </c>
      <c r="L19" s="93"/>
      <c r="M19" s="93"/>
      <c r="N19" s="93"/>
      <c r="O19" s="93"/>
      <c r="P19" s="93"/>
      <c r="Q19" s="93"/>
      <c r="R19" s="357" t="s">
        <v>66</v>
      </c>
      <c r="S19" s="357" t="s">
        <v>66</v>
      </c>
      <c r="T19" s="93"/>
      <c r="U19" s="93"/>
      <c r="V19" s="93"/>
      <c r="W19" s="479">
        <v>4</v>
      </c>
      <c r="X19" s="479">
        <v>4</v>
      </c>
      <c r="Y19" s="357" t="s">
        <v>66</v>
      </c>
      <c r="Z19" s="357" t="s">
        <v>66</v>
      </c>
      <c r="AA19" s="479">
        <v>4</v>
      </c>
      <c r="AB19" s="479">
        <v>4</v>
      </c>
      <c r="AC19" s="479">
        <v>4</v>
      </c>
      <c r="AD19" s="479">
        <v>4</v>
      </c>
      <c r="AE19" s="479">
        <v>4</v>
      </c>
      <c r="AF19" s="357" t="s">
        <v>66</v>
      </c>
      <c r="AG19" s="93"/>
      <c r="AH19" s="93"/>
      <c r="AI19" s="93"/>
      <c r="AJ19" s="93"/>
      <c r="AK19" s="93"/>
      <c r="AL19" s="93"/>
      <c r="AM19" s="357" t="s">
        <v>66</v>
      </c>
      <c r="AN19" s="357" t="s">
        <v>66</v>
      </c>
      <c r="AO19" s="505"/>
    </row>
    <row r="20" spans="1:41" ht="15.6">
      <c r="A20" s="347" t="s">
        <v>111</v>
      </c>
      <c r="B20" s="336" t="s">
        <v>69</v>
      </c>
      <c r="C20" s="336" t="s">
        <v>60</v>
      </c>
      <c r="D20" s="336" t="s">
        <v>106</v>
      </c>
      <c r="E20" s="336" t="s">
        <v>58</v>
      </c>
      <c r="F20" s="336" t="s">
        <v>88</v>
      </c>
      <c r="G20" s="435">
        <v>74</v>
      </c>
      <c r="H20" s="358">
        <v>22</v>
      </c>
      <c r="I20" s="358">
        <v>26</v>
      </c>
      <c r="J20" s="460">
        <v>5.0477489768076396</v>
      </c>
      <c r="K20" s="496">
        <v>4</v>
      </c>
      <c r="L20" s="93"/>
      <c r="M20" s="93"/>
      <c r="N20" s="93"/>
      <c r="O20" s="93"/>
      <c r="P20" s="93"/>
      <c r="Q20" s="93"/>
      <c r="R20" s="357" t="s">
        <v>66</v>
      </c>
      <c r="S20" s="357" t="s">
        <v>66</v>
      </c>
      <c r="T20" s="93"/>
      <c r="U20" s="93"/>
      <c r="V20" s="93"/>
      <c r="W20" s="93"/>
      <c r="X20" s="93"/>
      <c r="Y20" s="357" t="s">
        <v>66</v>
      </c>
      <c r="Z20" s="357" t="s">
        <v>66</v>
      </c>
      <c r="AA20" s="93"/>
      <c r="AB20" s="93"/>
      <c r="AC20" s="93"/>
      <c r="AD20" s="93"/>
      <c r="AE20" s="93"/>
      <c r="AF20" s="357" t="s">
        <v>66</v>
      </c>
      <c r="AG20" s="479">
        <v>4</v>
      </c>
      <c r="AH20" s="479">
        <v>4</v>
      </c>
      <c r="AI20" s="479">
        <v>4</v>
      </c>
      <c r="AJ20" s="479">
        <v>4</v>
      </c>
      <c r="AK20" s="479">
        <v>4</v>
      </c>
      <c r="AL20" s="93"/>
      <c r="AM20" s="357" t="s">
        <v>66</v>
      </c>
      <c r="AN20" s="357" t="s">
        <v>66</v>
      </c>
      <c r="AO20" s="505"/>
    </row>
    <row r="21" spans="1:41" ht="15.6">
      <c r="A21" s="347" t="s">
        <v>113</v>
      </c>
      <c r="B21" s="348" t="s">
        <v>74</v>
      </c>
      <c r="C21" s="348" t="s">
        <v>60</v>
      </c>
      <c r="D21" s="351" t="s">
        <v>106</v>
      </c>
      <c r="E21" s="336" t="s">
        <v>58</v>
      </c>
      <c r="F21" s="346" t="s">
        <v>88</v>
      </c>
      <c r="G21" s="436">
        <v>124</v>
      </c>
      <c r="H21" s="358">
        <v>1</v>
      </c>
      <c r="I21" s="358">
        <v>11</v>
      </c>
      <c r="J21" s="460">
        <v>8.4583901773533423</v>
      </c>
      <c r="K21" s="496">
        <v>1</v>
      </c>
      <c r="L21" s="359">
        <v>1</v>
      </c>
      <c r="M21" s="359">
        <v>1</v>
      </c>
      <c r="N21" s="359">
        <v>1</v>
      </c>
      <c r="O21" s="359">
        <v>1</v>
      </c>
      <c r="P21" s="359">
        <v>1</v>
      </c>
      <c r="Q21" s="359">
        <v>1</v>
      </c>
      <c r="R21" s="357" t="s">
        <v>66</v>
      </c>
      <c r="S21" s="357" t="s">
        <v>66</v>
      </c>
      <c r="T21" s="359">
        <v>1</v>
      </c>
      <c r="U21" s="359">
        <v>1</v>
      </c>
      <c r="V21" s="359">
        <v>1</v>
      </c>
      <c r="W21" s="93"/>
      <c r="X21" s="93"/>
      <c r="Y21" s="357" t="s">
        <v>66</v>
      </c>
      <c r="Z21" s="357" t="s">
        <v>66</v>
      </c>
      <c r="AA21" s="93"/>
      <c r="AB21" s="93"/>
      <c r="AC21" s="93"/>
      <c r="AD21" s="93"/>
      <c r="AE21" s="93"/>
      <c r="AF21" s="357" t="s">
        <v>66</v>
      </c>
      <c r="AG21" s="93"/>
      <c r="AH21" s="93"/>
      <c r="AI21" s="93"/>
      <c r="AJ21" s="93"/>
      <c r="AK21" s="93"/>
      <c r="AL21" s="93"/>
      <c r="AM21" s="357" t="s">
        <v>66</v>
      </c>
      <c r="AN21" s="357" t="s">
        <v>66</v>
      </c>
      <c r="AO21" s="505"/>
    </row>
    <row r="22" spans="1:41" ht="16.149999999999999" thickBot="1">
      <c r="A22" s="347" t="s">
        <v>115</v>
      </c>
      <c r="B22" s="336" t="s">
        <v>69</v>
      </c>
      <c r="C22" s="336" t="s">
        <v>60</v>
      </c>
      <c r="D22" s="351" t="s">
        <v>106</v>
      </c>
      <c r="E22" s="336" t="s">
        <v>58</v>
      </c>
      <c r="F22" s="346" t="s">
        <v>88</v>
      </c>
      <c r="G22" s="443">
        <v>118</v>
      </c>
      <c r="H22" s="358">
        <v>12</v>
      </c>
      <c r="I22" s="358">
        <v>23</v>
      </c>
      <c r="J22" s="460">
        <v>8.0491132332878585</v>
      </c>
      <c r="K22" s="496">
        <v>1</v>
      </c>
      <c r="L22" s="475"/>
      <c r="M22" s="475"/>
      <c r="N22" s="475"/>
      <c r="O22" s="475"/>
      <c r="P22" s="475"/>
      <c r="Q22" s="475"/>
      <c r="R22" s="357" t="s">
        <v>66</v>
      </c>
      <c r="S22" s="357" t="s">
        <v>66</v>
      </c>
      <c r="T22" s="93"/>
      <c r="U22" s="93"/>
      <c r="V22" s="93"/>
      <c r="W22" s="359">
        <v>1</v>
      </c>
      <c r="X22" s="359">
        <v>1</v>
      </c>
      <c r="Y22" s="357" t="s">
        <v>66</v>
      </c>
      <c r="Z22" s="357" t="s">
        <v>66</v>
      </c>
      <c r="AA22" s="359">
        <v>1</v>
      </c>
      <c r="AB22" s="359">
        <v>1</v>
      </c>
      <c r="AC22" s="359">
        <v>1</v>
      </c>
      <c r="AD22" s="359">
        <v>1</v>
      </c>
      <c r="AE22" s="359">
        <v>1</v>
      </c>
      <c r="AF22" s="357" t="s">
        <v>66</v>
      </c>
      <c r="AG22" s="359">
        <v>1</v>
      </c>
      <c r="AH22" s="359">
        <v>1</v>
      </c>
      <c r="AI22" s="93"/>
      <c r="AJ22" s="93"/>
      <c r="AK22" s="93"/>
      <c r="AL22" s="93"/>
      <c r="AM22" s="357" t="s">
        <v>66</v>
      </c>
      <c r="AN22" s="357" t="s">
        <v>66</v>
      </c>
      <c r="AO22" s="505"/>
    </row>
    <row r="23" spans="1:41" ht="16.149999999999999" thickBot="1">
      <c r="A23" s="350" t="s">
        <v>118</v>
      </c>
      <c r="B23" s="336" t="s">
        <v>69</v>
      </c>
      <c r="C23" s="336" t="s">
        <v>60</v>
      </c>
      <c r="D23" s="337" t="s">
        <v>106</v>
      </c>
      <c r="E23" s="336" t="s">
        <v>58</v>
      </c>
      <c r="F23" s="338" t="s">
        <v>88</v>
      </c>
      <c r="G23" s="435">
        <v>124</v>
      </c>
      <c r="H23" s="358">
        <v>1</v>
      </c>
      <c r="I23" s="358">
        <v>11</v>
      </c>
      <c r="J23" s="460">
        <v>8.4583901773533423</v>
      </c>
      <c r="K23" s="496">
        <v>2</v>
      </c>
      <c r="L23" s="477">
        <v>2</v>
      </c>
      <c r="M23" s="477">
        <v>2</v>
      </c>
      <c r="N23" s="477">
        <v>2</v>
      </c>
      <c r="O23" s="477">
        <v>2</v>
      </c>
      <c r="P23" s="477">
        <v>2</v>
      </c>
      <c r="Q23" s="477">
        <v>2</v>
      </c>
      <c r="R23" s="357" t="s">
        <v>66</v>
      </c>
      <c r="S23" s="357" t="s">
        <v>66</v>
      </c>
      <c r="T23" s="477">
        <v>2</v>
      </c>
      <c r="U23" s="477">
        <v>2</v>
      </c>
      <c r="V23" s="477">
        <v>2</v>
      </c>
      <c r="W23" s="93"/>
      <c r="X23" s="93"/>
      <c r="Y23" s="357" t="s">
        <v>66</v>
      </c>
      <c r="Z23" s="357" t="s">
        <v>66</v>
      </c>
      <c r="AA23" s="93"/>
      <c r="AB23" s="93"/>
      <c r="AC23" s="93"/>
      <c r="AD23" s="93"/>
      <c r="AE23" s="93"/>
      <c r="AF23" s="357" t="s">
        <v>66</v>
      </c>
      <c r="AG23" s="93"/>
      <c r="AH23" s="93"/>
      <c r="AI23" s="93"/>
      <c r="AJ23" s="93"/>
      <c r="AK23" s="93"/>
      <c r="AL23" s="93"/>
      <c r="AM23" s="357" t="s">
        <v>66</v>
      </c>
      <c r="AN23" s="357" t="s">
        <v>66</v>
      </c>
      <c r="AO23" s="505"/>
    </row>
    <row r="24" spans="1:41" ht="16.149999999999999" thickBot="1">
      <c r="A24" s="350" t="s">
        <v>120</v>
      </c>
      <c r="B24" s="336" t="s">
        <v>69</v>
      </c>
      <c r="C24" s="336" t="s">
        <v>60</v>
      </c>
      <c r="D24" s="337" t="s">
        <v>106</v>
      </c>
      <c r="E24" s="336" t="s">
        <v>58</v>
      </c>
      <c r="F24" s="338" t="s">
        <v>88</v>
      </c>
      <c r="G24" s="435">
        <v>22</v>
      </c>
      <c r="H24" s="358">
        <v>12</v>
      </c>
      <c r="I24" s="358">
        <v>13</v>
      </c>
      <c r="J24" s="460">
        <v>1.500682128240109</v>
      </c>
      <c r="K24" s="496">
        <v>2</v>
      </c>
      <c r="L24" s="93"/>
      <c r="M24" s="93"/>
      <c r="N24" s="93"/>
      <c r="O24" s="93"/>
      <c r="P24" s="93"/>
      <c r="Q24" s="93"/>
      <c r="R24" s="357" t="s">
        <v>66</v>
      </c>
      <c r="S24" s="357" t="s">
        <v>66</v>
      </c>
      <c r="T24" s="93"/>
      <c r="U24" s="93"/>
      <c r="V24" s="93"/>
      <c r="W24" s="477">
        <v>2</v>
      </c>
      <c r="X24" s="477">
        <v>2</v>
      </c>
      <c r="Y24" s="357" t="s">
        <v>66</v>
      </c>
      <c r="Z24" s="357" t="s">
        <v>66</v>
      </c>
      <c r="AA24" s="93"/>
      <c r="AB24" s="93"/>
      <c r="AC24" s="93"/>
      <c r="AD24" s="93"/>
      <c r="AE24" s="93"/>
      <c r="AF24" s="357" t="s">
        <v>66</v>
      </c>
      <c r="AG24" s="93"/>
      <c r="AH24" s="93"/>
      <c r="AI24" s="93"/>
      <c r="AJ24" s="93"/>
      <c r="AK24" s="93"/>
      <c r="AL24" s="93"/>
      <c r="AM24" s="357" t="s">
        <v>66</v>
      </c>
      <c r="AN24" s="357" t="s">
        <v>66</v>
      </c>
      <c r="AO24" s="505"/>
    </row>
    <row r="25" spans="1:41" ht="15.6">
      <c r="A25" s="347" t="s">
        <v>122</v>
      </c>
      <c r="B25" s="336" t="s">
        <v>69</v>
      </c>
      <c r="C25" s="336" t="s">
        <v>60</v>
      </c>
      <c r="D25" s="337" t="s">
        <v>106</v>
      </c>
      <c r="E25" s="336" t="s">
        <v>58</v>
      </c>
      <c r="F25" s="346" t="s">
        <v>88</v>
      </c>
      <c r="G25" s="436">
        <v>96</v>
      </c>
      <c r="H25" s="358">
        <v>16</v>
      </c>
      <c r="I25" s="358">
        <v>23</v>
      </c>
      <c r="J25" s="460">
        <v>6.5484311050477491</v>
      </c>
      <c r="K25" s="496">
        <v>2</v>
      </c>
      <c r="L25" s="93"/>
      <c r="M25" s="93"/>
      <c r="N25" s="93"/>
      <c r="O25" s="93"/>
      <c r="P25" s="93"/>
      <c r="Q25" s="93"/>
      <c r="R25" s="357" t="s">
        <v>66</v>
      </c>
      <c r="S25" s="357" t="s">
        <v>66</v>
      </c>
      <c r="T25" s="93"/>
      <c r="U25" s="93"/>
      <c r="V25" s="93"/>
      <c r="W25" s="93"/>
      <c r="X25" s="93"/>
      <c r="Y25" s="357" t="s">
        <v>66</v>
      </c>
      <c r="Z25" s="357" t="s">
        <v>66</v>
      </c>
      <c r="AA25" s="477">
        <v>2</v>
      </c>
      <c r="AB25" s="477">
        <v>2</v>
      </c>
      <c r="AC25" s="477">
        <v>2</v>
      </c>
      <c r="AD25" s="477">
        <v>2</v>
      </c>
      <c r="AE25" s="477">
        <v>2</v>
      </c>
      <c r="AF25" s="357" t="s">
        <v>66</v>
      </c>
      <c r="AG25" s="477">
        <v>2</v>
      </c>
      <c r="AH25" s="477">
        <v>2</v>
      </c>
      <c r="AI25" s="93"/>
      <c r="AJ25" s="93"/>
      <c r="AK25" s="93"/>
      <c r="AL25" s="93"/>
      <c r="AM25" s="357" t="s">
        <v>66</v>
      </c>
      <c r="AN25" s="357" t="s">
        <v>66</v>
      </c>
      <c r="AO25" s="505"/>
    </row>
    <row r="26" spans="1:41" ht="15.6">
      <c r="A26" s="347" t="s">
        <v>125</v>
      </c>
      <c r="B26" s="336" t="s">
        <v>69</v>
      </c>
      <c r="C26" s="336" t="s">
        <v>60</v>
      </c>
      <c r="D26" s="337" t="s">
        <v>106</v>
      </c>
      <c r="E26" s="336" t="s">
        <v>58</v>
      </c>
      <c r="F26" s="346" t="s">
        <v>88</v>
      </c>
      <c r="G26" s="436">
        <v>124</v>
      </c>
      <c r="H26" s="358">
        <v>1</v>
      </c>
      <c r="I26" s="358">
        <v>11</v>
      </c>
      <c r="J26" s="460">
        <v>8.4583901773533423</v>
      </c>
      <c r="K26" s="496">
        <v>3</v>
      </c>
      <c r="L26" s="361">
        <v>3</v>
      </c>
      <c r="M26" s="361">
        <v>3</v>
      </c>
      <c r="N26" s="361">
        <v>3</v>
      </c>
      <c r="O26" s="361">
        <v>3</v>
      </c>
      <c r="P26" s="361">
        <v>3</v>
      </c>
      <c r="Q26" s="361">
        <v>3</v>
      </c>
      <c r="R26" s="357" t="s">
        <v>66</v>
      </c>
      <c r="S26" s="357" t="s">
        <v>66</v>
      </c>
      <c r="T26" s="361">
        <v>3</v>
      </c>
      <c r="U26" s="361">
        <v>3</v>
      </c>
      <c r="V26" s="361">
        <v>3</v>
      </c>
      <c r="W26" s="93"/>
      <c r="X26" s="93"/>
      <c r="Y26" s="357" t="s">
        <v>66</v>
      </c>
      <c r="Z26" s="357" t="s">
        <v>66</v>
      </c>
      <c r="AA26" s="93"/>
      <c r="AB26" s="93"/>
      <c r="AC26" s="93"/>
      <c r="AD26" s="93"/>
      <c r="AE26" s="93"/>
      <c r="AF26" s="357" t="s">
        <v>66</v>
      </c>
      <c r="AG26" s="93"/>
      <c r="AH26" s="93"/>
      <c r="AI26" s="93"/>
      <c r="AJ26" s="93"/>
      <c r="AK26" s="93"/>
      <c r="AL26" s="93"/>
      <c r="AM26" s="357" t="s">
        <v>66</v>
      </c>
      <c r="AN26" s="357" t="s">
        <v>66</v>
      </c>
      <c r="AO26" s="505"/>
    </row>
    <row r="27" spans="1:41" ht="15.6">
      <c r="A27" s="347" t="s">
        <v>127</v>
      </c>
      <c r="B27" s="348" t="s">
        <v>74</v>
      </c>
      <c r="C27" s="336" t="s">
        <v>60</v>
      </c>
      <c r="D27" s="337" t="s">
        <v>106</v>
      </c>
      <c r="E27" s="336" t="s">
        <v>58</v>
      </c>
      <c r="F27" s="346" t="s">
        <v>88</v>
      </c>
      <c r="G27" s="436">
        <v>52</v>
      </c>
      <c r="H27" s="358">
        <v>25</v>
      </c>
      <c r="I27" s="358">
        <v>30</v>
      </c>
      <c r="J27" s="460">
        <v>3.5470668485675305</v>
      </c>
      <c r="K27" s="496">
        <v>3</v>
      </c>
      <c r="L27" s="93"/>
      <c r="M27" s="93"/>
      <c r="N27" s="93"/>
      <c r="O27" s="93"/>
      <c r="P27" s="93"/>
      <c r="Q27" s="93"/>
      <c r="R27" s="357" t="s">
        <v>66</v>
      </c>
      <c r="S27" s="357" t="s">
        <v>66</v>
      </c>
      <c r="T27" s="93"/>
      <c r="U27" s="93"/>
      <c r="V27" s="93"/>
      <c r="W27" s="93"/>
      <c r="X27" s="93"/>
      <c r="Y27" s="357" t="s">
        <v>66</v>
      </c>
      <c r="Z27" s="357" t="s">
        <v>66</v>
      </c>
      <c r="AA27" s="93"/>
      <c r="AB27" s="93"/>
      <c r="AC27" s="93"/>
      <c r="AD27" s="93"/>
      <c r="AE27" s="93"/>
      <c r="AF27" s="357" t="s">
        <v>66</v>
      </c>
      <c r="AG27" s="93"/>
      <c r="AH27" s="93"/>
      <c r="AI27" s="93"/>
      <c r="AJ27" s="361">
        <v>3</v>
      </c>
      <c r="AK27" s="361">
        <v>3</v>
      </c>
      <c r="AL27" s="361">
        <v>3</v>
      </c>
      <c r="AM27" s="357" t="s">
        <v>66</v>
      </c>
      <c r="AN27" s="357" t="s">
        <v>66</v>
      </c>
      <c r="AO27" s="508">
        <v>3</v>
      </c>
    </row>
    <row r="28" spans="1:41" ht="15.6">
      <c r="A28" s="347" t="s">
        <v>129</v>
      </c>
      <c r="B28" s="336" t="s">
        <v>69</v>
      </c>
      <c r="C28" s="336" t="s">
        <v>60</v>
      </c>
      <c r="D28" s="337" t="s">
        <v>106</v>
      </c>
      <c r="E28" s="336" t="s">
        <v>58</v>
      </c>
      <c r="F28" s="346" t="s">
        <v>88</v>
      </c>
      <c r="G28" s="436">
        <v>132</v>
      </c>
      <c r="H28" s="358">
        <v>12</v>
      </c>
      <c r="I28" s="358">
        <v>24</v>
      </c>
      <c r="J28" s="460">
        <v>9.0040927694406552</v>
      </c>
      <c r="K28" s="496">
        <v>3</v>
      </c>
      <c r="L28" s="93"/>
      <c r="M28" s="93"/>
      <c r="N28" s="93"/>
      <c r="O28" s="93"/>
      <c r="P28" s="93"/>
      <c r="Q28" s="93"/>
      <c r="R28" s="357" t="s">
        <v>66</v>
      </c>
      <c r="S28" s="357" t="s">
        <v>66</v>
      </c>
      <c r="T28" s="93"/>
      <c r="U28" s="93"/>
      <c r="V28" s="93"/>
      <c r="W28" s="361">
        <v>3</v>
      </c>
      <c r="X28" s="361">
        <v>3</v>
      </c>
      <c r="Y28" s="357" t="s">
        <v>66</v>
      </c>
      <c r="Z28" s="357" t="s">
        <v>66</v>
      </c>
      <c r="AA28" s="361">
        <v>3</v>
      </c>
      <c r="AB28" s="361">
        <v>3</v>
      </c>
      <c r="AC28" s="361">
        <v>3</v>
      </c>
      <c r="AD28" s="361">
        <v>3</v>
      </c>
      <c r="AE28" s="361">
        <v>3</v>
      </c>
      <c r="AF28" s="357" t="s">
        <v>66</v>
      </c>
      <c r="AG28" s="361">
        <v>3</v>
      </c>
      <c r="AH28" s="361">
        <v>3</v>
      </c>
      <c r="AI28" s="361">
        <v>3</v>
      </c>
      <c r="AJ28" s="93"/>
      <c r="AK28" s="93"/>
      <c r="AL28" s="93"/>
      <c r="AM28" s="357" t="s">
        <v>66</v>
      </c>
      <c r="AN28" s="357" t="s">
        <v>66</v>
      </c>
      <c r="AO28" s="505"/>
    </row>
    <row r="29" spans="1:41" ht="16.149999999999999" thickBot="1">
      <c r="A29" s="509" t="s">
        <v>132</v>
      </c>
      <c r="B29" s="340" t="s">
        <v>69</v>
      </c>
      <c r="C29" s="340" t="s">
        <v>60</v>
      </c>
      <c r="D29" s="341" t="s">
        <v>106</v>
      </c>
      <c r="E29" s="340" t="s">
        <v>58</v>
      </c>
      <c r="F29" s="342" t="s">
        <v>88</v>
      </c>
      <c r="G29" s="437">
        <v>66</v>
      </c>
      <c r="H29" s="362">
        <v>24</v>
      </c>
      <c r="I29" s="362">
        <v>30</v>
      </c>
      <c r="J29" s="461">
        <v>4.5020463847203276</v>
      </c>
      <c r="K29" s="501">
        <v>1</v>
      </c>
      <c r="L29" s="363"/>
      <c r="M29" s="363"/>
      <c r="N29" s="363"/>
      <c r="O29" s="363"/>
      <c r="P29" s="363"/>
      <c r="Q29" s="363"/>
      <c r="R29" s="364" t="s">
        <v>66</v>
      </c>
      <c r="S29" s="364" t="s">
        <v>66</v>
      </c>
      <c r="T29" s="363"/>
      <c r="U29" s="363"/>
      <c r="V29" s="363"/>
      <c r="W29" s="363"/>
      <c r="X29" s="363"/>
      <c r="Y29" s="364" t="s">
        <v>66</v>
      </c>
      <c r="Z29" s="364" t="s">
        <v>66</v>
      </c>
      <c r="AA29" s="363"/>
      <c r="AB29" s="363"/>
      <c r="AC29" s="363"/>
      <c r="AD29" s="363"/>
      <c r="AE29" s="363"/>
      <c r="AF29" s="364" t="s">
        <v>66</v>
      </c>
      <c r="AG29" s="363"/>
      <c r="AH29" s="363"/>
      <c r="AI29" s="510">
        <v>1</v>
      </c>
      <c r="AJ29" s="510">
        <v>1</v>
      </c>
      <c r="AK29" s="510">
        <v>1</v>
      </c>
      <c r="AL29" s="510">
        <v>1</v>
      </c>
      <c r="AM29" s="364" t="s">
        <v>66</v>
      </c>
      <c r="AN29" s="364" t="s">
        <v>66</v>
      </c>
      <c r="AO29" s="511">
        <v>1</v>
      </c>
    </row>
    <row r="30" spans="1:41" ht="15.6">
      <c r="A30" s="331" t="s">
        <v>134</v>
      </c>
      <c r="B30" s="332" t="s">
        <v>79</v>
      </c>
      <c r="C30" s="332" t="s">
        <v>137</v>
      </c>
      <c r="D30" s="332" t="s">
        <v>63</v>
      </c>
      <c r="E30" s="371" t="s">
        <v>1895</v>
      </c>
      <c r="F30" s="332" t="s">
        <v>62</v>
      </c>
      <c r="G30" s="439">
        <v>615.72</v>
      </c>
      <c r="H30" s="411">
        <v>1</v>
      </c>
      <c r="I30" s="411">
        <v>30</v>
      </c>
      <c r="J30" s="463">
        <v>21</v>
      </c>
      <c r="K30" s="334" t="s">
        <v>1875</v>
      </c>
      <c r="L30" s="374" t="s">
        <v>1875</v>
      </c>
      <c r="M30" s="374" t="s">
        <v>1875</v>
      </c>
      <c r="N30" s="374" t="s">
        <v>1875</v>
      </c>
      <c r="O30" s="374" t="s">
        <v>1875</v>
      </c>
      <c r="P30" s="374" t="s">
        <v>1875</v>
      </c>
      <c r="Q30" s="374" t="s">
        <v>1875</v>
      </c>
      <c r="R30" s="355" t="s">
        <v>66</v>
      </c>
      <c r="S30" s="355" t="s">
        <v>66</v>
      </c>
      <c r="T30" s="374" t="s">
        <v>1875</v>
      </c>
      <c r="U30" s="374" t="s">
        <v>1875</v>
      </c>
      <c r="V30" s="374" t="s">
        <v>1875</v>
      </c>
      <c r="W30" s="374" t="s">
        <v>1875</v>
      </c>
      <c r="X30" s="374" t="s">
        <v>1875</v>
      </c>
      <c r="Y30" s="355" t="s">
        <v>66</v>
      </c>
      <c r="Z30" s="355" t="s">
        <v>66</v>
      </c>
      <c r="AA30" s="374" t="s">
        <v>1875</v>
      </c>
      <c r="AB30" s="374" t="s">
        <v>1875</v>
      </c>
      <c r="AC30" s="374" t="s">
        <v>1875</v>
      </c>
      <c r="AD30" s="374" t="s">
        <v>1875</v>
      </c>
      <c r="AE30" s="374" t="s">
        <v>1875</v>
      </c>
      <c r="AF30" s="355" t="s">
        <v>66</v>
      </c>
      <c r="AG30" s="374" t="s">
        <v>1875</v>
      </c>
      <c r="AH30" s="374" t="s">
        <v>1875</v>
      </c>
      <c r="AI30" s="374" t="s">
        <v>1875</v>
      </c>
      <c r="AJ30" s="374" t="s">
        <v>1875</v>
      </c>
      <c r="AK30" s="374" t="s">
        <v>1875</v>
      </c>
      <c r="AL30" s="374" t="s">
        <v>1875</v>
      </c>
      <c r="AM30" s="355" t="s">
        <v>66</v>
      </c>
      <c r="AN30" s="355" t="s">
        <v>66</v>
      </c>
      <c r="AO30" s="513" t="s">
        <v>1875</v>
      </c>
    </row>
    <row r="31" spans="1:41" ht="16.149999999999999" thickBot="1">
      <c r="A31" s="339" t="s">
        <v>138</v>
      </c>
      <c r="B31" s="340" t="s">
        <v>74</v>
      </c>
      <c r="C31" s="340" t="s">
        <v>60</v>
      </c>
      <c r="D31" s="340" t="s">
        <v>63</v>
      </c>
      <c r="E31" s="368" t="s">
        <v>1895</v>
      </c>
      <c r="F31" s="340" t="s">
        <v>62</v>
      </c>
      <c r="G31" s="441">
        <v>461.79</v>
      </c>
      <c r="H31" s="412">
        <v>1</v>
      </c>
      <c r="I31" s="412">
        <v>30</v>
      </c>
      <c r="J31" s="464">
        <v>21</v>
      </c>
      <c r="K31" s="342" t="s">
        <v>1891</v>
      </c>
      <c r="L31" s="370" t="s">
        <v>1891</v>
      </c>
      <c r="M31" s="370" t="s">
        <v>1891</v>
      </c>
      <c r="N31" s="370" t="s">
        <v>1891</v>
      </c>
      <c r="O31" s="370" t="s">
        <v>1891</v>
      </c>
      <c r="P31" s="370" t="s">
        <v>1891</v>
      </c>
      <c r="Q31" s="370" t="s">
        <v>1891</v>
      </c>
      <c r="R31" s="364" t="s">
        <v>66</v>
      </c>
      <c r="S31" s="364" t="s">
        <v>66</v>
      </c>
      <c r="T31" s="370" t="s">
        <v>1891</v>
      </c>
      <c r="U31" s="370" t="s">
        <v>1891</v>
      </c>
      <c r="V31" s="370" t="s">
        <v>1891</v>
      </c>
      <c r="W31" s="370" t="s">
        <v>1891</v>
      </c>
      <c r="X31" s="370" t="s">
        <v>1891</v>
      </c>
      <c r="Y31" s="364" t="s">
        <v>66</v>
      </c>
      <c r="Z31" s="364" t="s">
        <v>66</v>
      </c>
      <c r="AA31" s="370" t="s">
        <v>1891</v>
      </c>
      <c r="AB31" s="370" t="s">
        <v>1891</v>
      </c>
      <c r="AC31" s="370" t="s">
        <v>1891</v>
      </c>
      <c r="AD31" s="370" t="s">
        <v>1891</v>
      </c>
      <c r="AE31" s="370" t="s">
        <v>1891</v>
      </c>
      <c r="AF31" s="364" t="s">
        <v>66</v>
      </c>
      <c r="AG31" s="370" t="s">
        <v>1891</v>
      </c>
      <c r="AH31" s="370" t="s">
        <v>1891</v>
      </c>
      <c r="AI31" s="370" t="s">
        <v>1891</v>
      </c>
      <c r="AJ31" s="370" t="s">
        <v>1891</v>
      </c>
      <c r="AK31" s="370" t="s">
        <v>1891</v>
      </c>
      <c r="AL31" s="370" t="s">
        <v>1891</v>
      </c>
      <c r="AM31" s="364" t="s">
        <v>66</v>
      </c>
      <c r="AN31" s="364" t="s">
        <v>66</v>
      </c>
      <c r="AO31" s="514" t="s">
        <v>1891</v>
      </c>
    </row>
    <row r="32" spans="1:41" ht="15.6">
      <c r="A32" s="331" t="s">
        <v>141</v>
      </c>
      <c r="B32" s="332" t="s">
        <v>74</v>
      </c>
      <c r="C32" s="332" t="s">
        <v>60</v>
      </c>
      <c r="D32" s="332" t="s">
        <v>63</v>
      </c>
      <c r="E32" s="371" t="s">
        <v>1895</v>
      </c>
      <c r="F32" s="332" t="s">
        <v>88</v>
      </c>
      <c r="G32" s="439">
        <v>44</v>
      </c>
      <c r="H32" s="515">
        <v>1</v>
      </c>
      <c r="I32" s="515">
        <v>3</v>
      </c>
      <c r="J32" s="476">
        <v>3.0013642564802181</v>
      </c>
      <c r="K32" s="516">
        <v>1</v>
      </c>
      <c r="L32" s="517">
        <v>1</v>
      </c>
      <c r="M32" s="518">
        <v>1</v>
      </c>
      <c r="N32" s="518">
        <v>1</v>
      </c>
      <c r="O32" s="448"/>
      <c r="P32" s="448"/>
      <c r="Q32" s="448"/>
      <c r="R32" s="355" t="s">
        <v>66</v>
      </c>
      <c r="S32" s="355" t="s">
        <v>66</v>
      </c>
      <c r="T32" s="448"/>
      <c r="U32" s="448"/>
      <c r="V32" s="448"/>
      <c r="W32" s="448"/>
      <c r="X32" s="448"/>
      <c r="Y32" s="355" t="s">
        <v>66</v>
      </c>
      <c r="Z32" s="355" t="s">
        <v>66</v>
      </c>
      <c r="AA32" s="448"/>
      <c r="AB32" s="448"/>
      <c r="AC32" s="448"/>
      <c r="AD32" s="448"/>
      <c r="AE32" s="448"/>
      <c r="AF32" s="355" t="s">
        <v>66</v>
      </c>
      <c r="AG32" s="448"/>
      <c r="AH32" s="448"/>
      <c r="AI32" s="448"/>
      <c r="AJ32" s="448"/>
      <c r="AK32" s="448"/>
      <c r="AL32" s="448"/>
      <c r="AM32" s="355" t="s">
        <v>66</v>
      </c>
      <c r="AN32" s="355" t="s">
        <v>66</v>
      </c>
      <c r="AO32" s="504"/>
    </row>
    <row r="33" spans="1:41" ht="15.6">
      <c r="A33" s="344" t="s">
        <v>143</v>
      </c>
      <c r="B33" s="336" t="s">
        <v>87</v>
      </c>
      <c r="C33" s="348" t="s">
        <v>60</v>
      </c>
      <c r="D33" s="336" t="s">
        <v>89</v>
      </c>
      <c r="E33" s="349" t="s">
        <v>1895</v>
      </c>
      <c r="F33" s="336" t="s">
        <v>88</v>
      </c>
      <c r="G33" s="436">
        <v>14</v>
      </c>
      <c r="H33" s="358">
        <v>4</v>
      </c>
      <c r="I33" s="358">
        <v>4</v>
      </c>
      <c r="J33" s="474">
        <v>0.95497953615279674</v>
      </c>
      <c r="K33" s="498">
        <v>1</v>
      </c>
      <c r="L33" s="372"/>
      <c r="M33" s="93"/>
      <c r="N33" s="93"/>
      <c r="O33" s="359">
        <v>1</v>
      </c>
      <c r="P33" s="93"/>
      <c r="Q33" s="93"/>
      <c r="R33" s="357" t="s">
        <v>66</v>
      </c>
      <c r="S33" s="357" t="s">
        <v>66</v>
      </c>
      <c r="T33" s="93"/>
      <c r="U33" s="93"/>
      <c r="V33" s="93"/>
      <c r="W33" s="93"/>
      <c r="X33" s="93"/>
      <c r="Y33" s="357" t="s">
        <v>66</v>
      </c>
      <c r="Z33" s="357" t="s">
        <v>66</v>
      </c>
      <c r="AA33" s="93"/>
      <c r="AB33" s="93"/>
      <c r="AC33" s="93"/>
      <c r="AD33" s="93"/>
      <c r="AE33" s="93"/>
      <c r="AF33" s="357" t="s">
        <v>66</v>
      </c>
      <c r="AG33" s="93"/>
      <c r="AH33" s="93"/>
      <c r="AI33" s="93"/>
      <c r="AJ33" s="93"/>
      <c r="AK33" s="93"/>
      <c r="AL33" s="93"/>
      <c r="AM33" s="357" t="s">
        <v>66</v>
      </c>
      <c r="AN33" s="357" t="s">
        <v>66</v>
      </c>
      <c r="AO33" s="505"/>
    </row>
    <row r="34" spans="1:41" ht="15.6">
      <c r="A34" s="344" t="s">
        <v>145</v>
      </c>
      <c r="B34" s="348" t="s">
        <v>87</v>
      </c>
      <c r="C34" s="348" t="s">
        <v>60</v>
      </c>
      <c r="D34" s="346" t="s">
        <v>89</v>
      </c>
      <c r="E34" s="349" t="s">
        <v>1895</v>
      </c>
      <c r="F34" s="346" t="s">
        <v>88</v>
      </c>
      <c r="G34" s="436">
        <v>14</v>
      </c>
      <c r="H34" s="358">
        <v>16</v>
      </c>
      <c r="I34" s="358">
        <v>16</v>
      </c>
      <c r="J34" s="474">
        <v>0.95497953615279674</v>
      </c>
      <c r="K34" s="498">
        <v>2</v>
      </c>
      <c r="L34" s="372"/>
      <c r="M34" s="93"/>
      <c r="N34" s="93"/>
      <c r="O34" s="93"/>
      <c r="P34" s="93"/>
      <c r="Q34" s="93"/>
      <c r="R34" s="357" t="s">
        <v>66</v>
      </c>
      <c r="S34" s="357" t="s">
        <v>66</v>
      </c>
      <c r="T34" s="93"/>
      <c r="U34" s="93"/>
      <c r="V34" s="93"/>
      <c r="W34" s="93"/>
      <c r="X34" s="93"/>
      <c r="Y34" s="357" t="s">
        <v>66</v>
      </c>
      <c r="Z34" s="357" t="s">
        <v>66</v>
      </c>
      <c r="AA34" s="360">
        <v>2</v>
      </c>
      <c r="AB34" s="93"/>
      <c r="AC34" s="93"/>
      <c r="AD34" s="93"/>
      <c r="AE34" s="93"/>
      <c r="AF34" s="357" t="s">
        <v>66</v>
      </c>
      <c r="AG34" s="93"/>
      <c r="AH34" s="93"/>
      <c r="AI34" s="93"/>
      <c r="AJ34" s="93"/>
      <c r="AK34" s="93"/>
      <c r="AL34" s="93"/>
      <c r="AM34" s="357" t="s">
        <v>66</v>
      </c>
      <c r="AN34" s="357" t="s">
        <v>66</v>
      </c>
      <c r="AO34" s="505"/>
    </row>
    <row r="35" spans="1:41" ht="15.6">
      <c r="A35" s="344" t="s">
        <v>148</v>
      </c>
      <c r="B35" s="348" t="s">
        <v>87</v>
      </c>
      <c r="C35" s="348" t="s">
        <v>60</v>
      </c>
      <c r="D35" s="346" t="s">
        <v>89</v>
      </c>
      <c r="E35" s="349" t="s">
        <v>1895</v>
      </c>
      <c r="F35" s="346" t="s">
        <v>88</v>
      </c>
      <c r="G35" s="436">
        <v>14</v>
      </c>
      <c r="H35" s="358">
        <v>5</v>
      </c>
      <c r="I35" s="358">
        <v>5</v>
      </c>
      <c r="J35" s="474">
        <v>0.95497953615279674</v>
      </c>
      <c r="K35" s="498">
        <v>1</v>
      </c>
      <c r="L35" s="372"/>
      <c r="M35" s="93"/>
      <c r="N35" s="93"/>
      <c r="O35" s="93"/>
      <c r="P35" s="359">
        <v>1</v>
      </c>
      <c r="Q35" s="93"/>
      <c r="R35" s="357" t="s">
        <v>66</v>
      </c>
      <c r="S35" s="357" t="s">
        <v>66</v>
      </c>
      <c r="T35" s="93"/>
      <c r="U35" s="93"/>
      <c r="V35" s="93"/>
      <c r="W35" s="93"/>
      <c r="X35" s="93"/>
      <c r="Y35" s="357" t="s">
        <v>66</v>
      </c>
      <c r="Z35" s="357" t="s">
        <v>66</v>
      </c>
      <c r="AA35" s="93"/>
      <c r="AB35" s="93"/>
      <c r="AC35" s="93"/>
      <c r="AD35" s="93"/>
      <c r="AE35" s="93"/>
      <c r="AF35" s="357" t="s">
        <v>66</v>
      </c>
      <c r="AG35" s="93"/>
      <c r="AH35" s="93"/>
      <c r="AI35" s="93"/>
      <c r="AJ35" s="93"/>
      <c r="AK35" s="93"/>
      <c r="AL35" s="93"/>
      <c r="AM35" s="357" t="s">
        <v>66</v>
      </c>
      <c r="AN35" s="357" t="s">
        <v>66</v>
      </c>
      <c r="AO35" s="505"/>
    </row>
    <row r="36" spans="1:41" ht="15.6">
      <c r="A36" s="344" t="s">
        <v>150</v>
      </c>
      <c r="B36" s="348" t="s">
        <v>87</v>
      </c>
      <c r="C36" s="348" t="s">
        <v>60</v>
      </c>
      <c r="D36" s="346" t="s">
        <v>89</v>
      </c>
      <c r="E36" s="349" t="s">
        <v>1895</v>
      </c>
      <c r="F36" s="346" t="s">
        <v>88</v>
      </c>
      <c r="G36" s="436">
        <v>14</v>
      </c>
      <c r="H36" s="358">
        <v>17</v>
      </c>
      <c r="I36" s="358">
        <v>17</v>
      </c>
      <c r="J36" s="474">
        <v>0.95497953615279674</v>
      </c>
      <c r="K36" s="498">
        <v>2</v>
      </c>
      <c r="L36" s="372"/>
      <c r="M36" s="93"/>
      <c r="N36" s="93"/>
      <c r="O36" s="93"/>
      <c r="P36" s="93"/>
      <c r="Q36" s="93"/>
      <c r="R36" s="357" t="s">
        <v>66</v>
      </c>
      <c r="S36" s="357" t="s">
        <v>66</v>
      </c>
      <c r="T36" s="93"/>
      <c r="U36" s="93"/>
      <c r="V36" s="93"/>
      <c r="W36" s="93"/>
      <c r="X36" s="93"/>
      <c r="Y36" s="357" t="s">
        <v>66</v>
      </c>
      <c r="Z36" s="357" t="s">
        <v>66</v>
      </c>
      <c r="AA36" s="93"/>
      <c r="AB36" s="360">
        <v>2</v>
      </c>
      <c r="AC36" s="93"/>
      <c r="AD36" s="93"/>
      <c r="AE36" s="93"/>
      <c r="AF36" s="357" t="s">
        <v>66</v>
      </c>
      <c r="AG36" s="93"/>
      <c r="AH36" s="93"/>
      <c r="AI36" s="93"/>
      <c r="AJ36" s="93"/>
      <c r="AK36" s="93"/>
      <c r="AL36" s="93"/>
      <c r="AM36" s="357" t="s">
        <v>66</v>
      </c>
      <c r="AN36" s="357" t="s">
        <v>66</v>
      </c>
      <c r="AO36" s="505"/>
    </row>
    <row r="37" spans="1:41" ht="15.6">
      <c r="A37" s="344" t="s">
        <v>152</v>
      </c>
      <c r="B37" s="348" t="s">
        <v>87</v>
      </c>
      <c r="C37" s="348" t="s">
        <v>60</v>
      </c>
      <c r="D37" s="346" t="s">
        <v>89</v>
      </c>
      <c r="E37" s="349" t="s">
        <v>1895</v>
      </c>
      <c r="F37" s="346" t="s">
        <v>88</v>
      </c>
      <c r="G37" s="436">
        <v>8</v>
      </c>
      <c r="H37" s="358">
        <v>6</v>
      </c>
      <c r="I37" s="358">
        <v>6</v>
      </c>
      <c r="J37" s="474">
        <v>0.54570259208731242</v>
      </c>
      <c r="K37" s="498">
        <v>1</v>
      </c>
      <c r="L37" s="372"/>
      <c r="M37" s="93"/>
      <c r="N37" s="93"/>
      <c r="O37" s="93"/>
      <c r="P37" s="93"/>
      <c r="Q37" s="359">
        <v>1</v>
      </c>
      <c r="R37" s="357" t="s">
        <v>66</v>
      </c>
      <c r="S37" s="357" t="s">
        <v>66</v>
      </c>
      <c r="T37" s="93"/>
      <c r="U37" s="93"/>
      <c r="V37" s="93"/>
      <c r="W37" s="93"/>
      <c r="X37" s="93"/>
      <c r="Y37" s="357" t="s">
        <v>66</v>
      </c>
      <c r="Z37" s="357" t="s">
        <v>66</v>
      </c>
      <c r="AA37" s="93"/>
      <c r="AB37" s="93"/>
      <c r="AC37" s="93"/>
      <c r="AD37" s="93"/>
      <c r="AE37" s="93"/>
      <c r="AF37" s="357" t="s">
        <v>66</v>
      </c>
      <c r="AG37" s="93"/>
      <c r="AH37" s="93"/>
      <c r="AI37" s="93"/>
      <c r="AJ37" s="93"/>
      <c r="AK37" s="93"/>
      <c r="AL37" s="93"/>
      <c r="AM37" s="357" t="s">
        <v>66</v>
      </c>
      <c r="AN37" s="357" t="s">
        <v>66</v>
      </c>
      <c r="AO37" s="505"/>
    </row>
    <row r="38" spans="1:41" ht="15.6">
      <c r="A38" s="344" t="s">
        <v>154</v>
      </c>
      <c r="B38" s="348" t="s">
        <v>87</v>
      </c>
      <c r="C38" s="348" t="s">
        <v>60</v>
      </c>
      <c r="D38" s="346" t="s">
        <v>89</v>
      </c>
      <c r="E38" s="349" t="s">
        <v>1895</v>
      </c>
      <c r="F38" s="346" t="s">
        <v>88</v>
      </c>
      <c r="G38" s="436">
        <v>14</v>
      </c>
      <c r="H38" s="358">
        <v>18</v>
      </c>
      <c r="I38" s="358">
        <v>18</v>
      </c>
      <c r="J38" s="474">
        <v>0.95497953615279674</v>
      </c>
      <c r="K38" s="498">
        <v>2</v>
      </c>
      <c r="L38" s="372"/>
      <c r="M38" s="93"/>
      <c r="N38" s="93"/>
      <c r="O38" s="93"/>
      <c r="P38" s="93"/>
      <c r="Q38" s="93"/>
      <c r="R38" s="357" t="s">
        <v>66</v>
      </c>
      <c r="S38" s="357" t="s">
        <v>66</v>
      </c>
      <c r="T38" s="93"/>
      <c r="U38" s="93"/>
      <c r="V38" s="93"/>
      <c r="W38" s="93"/>
      <c r="X38" s="93"/>
      <c r="Y38" s="357" t="s">
        <v>66</v>
      </c>
      <c r="Z38" s="357" t="s">
        <v>66</v>
      </c>
      <c r="AA38" s="93"/>
      <c r="AB38" s="93"/>
      <c r="AC38" s="360">
        <v>2</v>
      </c>
      <c r="AD38" s="93"/>
      <c r="AE38" s="93"/>
      <c r="AF38" s="357" t="s">
        <v>66</v>
      </c>
      <c r="AG38" s="93"/>
      <c r="AH38" s="93"/>
      <c r="AI38" s="93"/>
      <c r="AJ38" s="93"/>
      <c r="AK38" s="93"/>
      <c r="AL38" s="93"/>
      <c r="AM38" s="357" t="s">
        <v>66</v>
      </c>
      <c r="AN38" s="357" t="s">
        <v>66</v>
      </c>
      <c r="AO38" s="505"/>
    </row>
    <row r="39" spans="1:41" ht="15.6">
      <c r="A39" s="344" t="s">
        <v>156</v>
      </c>
      <c r="B39" s="348" t="s">
        <v>87</v>
      </c>
      <c r="C39" s="348" t="s">
        <v>60</v>
      </c>
      <c r="D39" s="346" t="s">
        <v>89</v>
      </c>
      <c r="E39" s="349" t="s">
        <v>1895</v>
      </c>
      <c r="F39" s="346" t="s">
        <v>88</v>
      </c>
      <c r="G39" s="436">
        <v>14</v>
      </c>
      <c r="H39" s="358">
        <v>9</v>
      </c>
      <c r="I39" s="358">
        <v>9</v>
      </c>
      <c r="J39" s="474">
        <v>0.95497953615279674</v>
      </c>
      <c r="K39" s="498">
        <v>1</v>
      </c>
      <c r="L39" s="372"/>
      <c r="M39" s="93"/>
      <c r="N39" s="93"/>
      <c r="O39" s="93"/>
      <c r="P39" s="93"/>
      <c r="Q39" s="93"/>
      <c r="R39" s="357" t="s">
        <v>66</v>
      </c>
      <c r="S39" s="357" t="s">
        <v>66</v>
      </c>
      <c r="T39" s="359">
        <v>1</v>
      </c>
      <c r="U39" s="93"/>
      <c r="V39" s="93"/>
      <c r="W39" s="93"/>
      <c r="X39" s="93"/>
      <c r="Y39" s="357" t="s">
        <v>66</v>
      </c>
      <c r="Z39" s="357" t="s">
        <v>66</v>
      </c>
      <c r="AA39" s="93"/>
      <c r="AB39" s="93"/>
      <c r="AC39" s="93"/>
      <c r="AD39" s="93"/>
      <c r="AE39" s="93"/>
      <c r="AF39" s="357" t="s">
        <v>66</v>
      </c>
      <c r="AG39" s="93"/>
      <c r="AH39" s="93"/>
      <c r="AI39" s="93"/>
      <c r="AJ39" s="93"/>
      <c r="AK39" s="93"/>
      <c r="AL39" s="93"/>
      <c r="AM39" s="357" t="s">
        <v>66</v>
      </c>
      <c r="AN39" s="357" t="s">
        <v>66</v>
      </c>
      <c r="AO39" s="505"/>
    </row>
    <row r="40" spans="1:41" ht="15.6">
      <c r="A40" s="344" t="s">
        <v>158</v>
      </c>
      <c r="B40" s="348" t="s">
        <v>87</v>
      </c>
      <c r="C40" s="348" t="s">
        <v>60</v>
      </c>
      <c r="D40" s="346" t="s">
        <v>89</v>
      </c>
      <c r="E40" s="349" t="s">
        <v>1895</v>
      </c>
      <c r="F40" s="346" t="s">
        <v>88</v>
      </c>
      <c r="G40" s="436">
        <v>14</v>
      </c>
      <c r="H40" s="358">
        <v>19</v>
      </c>
      <c r="I40" s="358">
        <v>19</v>
      </c>
      <c r="J40" s="474">
        <v>0.95497953615279674</v>
      </c>
      <c r="K40" s="498">
        <v>2</v>
      </c>
      <c r="L40" s="372"/>
      <c r="M40" s="93"/>
      <c r="N40" s="93"/>
      <c r="O40" s="93"/>
      <c r="P40" s="93"/>
      <c r="Q40" s="93"/>
      <c r="R40" s="357" t="s">
        <v>66</v>
      </c>
      <c r="S40" s="357" t="s">
        <v>66</v>
      </c>
      <c r="T40" s="93"/>
      <c r="U40" s="93"/>
      <c r="V40" s="93"/>
      <c r="W40" s="93"/>
      <c r="X40" s="93"/>
      <c r="Y40" s="357" t="s">
        <v>66</v>
      </c>
      <c r="Z40" s="357" t="s">
        <v>66</v>
      </c>
      <c r="AA40" s="93"/>
      <c r="AB40" s="93"/>
      <c r="AC40" s="93"/>
      <c r="AD40" s="360">
        <v>2</v>
      </c>
      <c r="AE40" s="93"/>
      <c r="AF40" s="357" t="s">
        <v>66</v>
      </c>
      <c r="AG40" s="93"/>
      <c r="AH40" s="93"/>
      <c r="AI40" s="93"/>
      <c r="AJ40" s="93"/>
      <c r="AK40" s="93"/>
      <c r="AL40" s="93"/>
      <c r="AM40" s="357" t="s">
        <v>66</v>
      </c>
      <c r="AN40" s="357" t="s">
        <v>66</v>
      </c>
      <c r="AO40" s="505"/>
    </row>
    <row r="41" spans="1:41" ht="15.6">
      <c r="A41" s="344" t="s">
        <v>160</v>
      </c>
      <c r="B41" s="348" t="s">
        <v>87</v>
      </c>
      <c r="C41" s="348" t="s">
        <v>60</v>
      </c>
      <c r="D41" s="346" t="s">
        <v>89</v>
      </c>
      <c r="E41" s="349" t="s">
        <v>1895</v>
      </c>
      <c r="F41" s="346" t="s">
        <v>88</v>
      </c>
      <c r="G41" s="436">
        <v>8</v>
      </c>
      <c r="H41" s="358">
        <v>20</v>
      </c>
      <c r="I41" s="358">
        <v>20</v>
      </c>
      <c r="J41" s="474">
        <v>0.54570259208731242</v>
      </c>
      <c r="K41" s="498">
        <v>2</v>
      </c>
      <c r="L41" s="372"/>
      <c r="M41" s="93"/>
      <c r="N41" s="93"/>
      <c r="O41" s="93"/>
      <c r="P41" s="93"/>
      <c r="Q41" s="93"/>
      <c r="R41" s="357" t="s">
        <v>66</v>
      </c>
      <c r="S41" s="357" t="s">
        <v>66</v>
      </c>
      <c r="T41" s="93"/>
      <c r="U41" s="93"/>
      <c r="V41" s="93"/>
      <c r="W41" s="93"/>
      <c r="X41" s="93"/>
      <c r="Y41" s="357" t="s">
        <v>66</v>
      </c>
      <c r="Z41" s="357" t="s">
        <v>66</v>
      </c>
      <c r="AA41" s="93"/>
      <c r="AB41" s="93"/>
      <c r="AC41" s="93"/>
      <c r="AD41" s="93"/>
      <c r="AE41" s="360">
        <v>2</v>
      </c>
      <c r="AF41" s="357" t="s">
        <v>66</v>
      </c>
      <c r="AG41" s="93"/>
      <c r="AH41" s="93"/>
      <c r="AI41" s="93"/>
      <c r="AJ41" s="93"/>
      <c r="AK41" s="93"/>
      <c r="AL41" s="93"/>
      <c r="AM41" s="357" t="s">
        <v>66</v>
      </c>
      <c r="AN41" s="357" t="s">
        <v>66</v>
      </c>
      <c r="AO41" s="505"/>
    </row>
    <row r="42" spans="1:41" ht="15.6">
      <c r="A42" s="344" t="s">
        <v>162</v>
      </c>
      <c r="B42" s="348" t="s">
        <v>87</v>
      </c>
      <c r="C42" s="348" t="s">
        <v>60</v>
      </c>
      <c r="D42" s="346" t="s">
        <v>89</v>
      </c>
      <c r="E42" s="349" t="s">
        <v>1895</v>
      </c>
      <c r="F42" s="346" t="s">
        <v>88</v>
      </c>
      <c r="G42" s="436">
        <v>14</v>
      </c>
      <c r="H42" s="358">
        <v>22</v>
      </c>
      <c r="I42" s="358">
        <v>22</v>
      </c>
      <c r="J42" s="474">
        <v>0.95497953615279674</v>
      </c>
      <c r="K42" s="498">
        <v>2</v>
      </c>
      <c r="L42" s="372"/>
      <c r="M42" s="93"/>
      <c r="N42" s="93"/>
      <c r="O42" s="93"/>
      <c r="P42" s="93"/>
      <c r="Q42" s="93"/>
      <c r="R42" s="357" t="s">
        <v>66</v>
      </c>
      <c r="S42" s="357" t="s">
        <v>66</v>
      </c>
      <c r="T42" s="93"/>
      <c r="U42" s="93"/>
      <c r="V42" s="93"/>
      <c r="W42" s="93"/>
      <c r="X42" s="93"/>
      <c r="Y42" s="357" t="s">
        <v>66</v>
      </c>
      <c r="Z42" s="357" t="s">
        <v>66</v>
      </c>
      <c r="AA42" s="93"/>
      <c r="AB42" s="93"/>
      <c r="AC42" s="93"/>
      <c r="AD42" s="93"/>
      <c r="AE42" s="93"/>
      <c r="AF42" s="357" t="s">
        <v>66</v>
      </c>
      <c r="AG42" s="360">
        <v>2</v>
      </c>
      <c r="AH42" s="93"/>
      <c r="AI42" s="93"/>
      <c r="AJ42" s="93"/>
      <c r="AK42" s="93"/>
      <c r="AL42" s="93"/>
      <c r="AM42" s="357" t="s">
        <v>66</v>
      </c>
      <c r="AN42" s="357" t="s">
        <v>66</v>
      </c>
      <c r="AO42" s="505"/>
    </row>
    <row r="43" spans="1:41" ht="15.6">
      <c r="A43" s="344" t="s">
        <v>164</v>
      </c>
      <c r="B43" s="348" t="s">
        <v>87</v>
      </c>
      <c r="C43" s="348" t="s">
        <v>60</v>
      </c>
      <c r="D43" s="346" t="s">
        <v>89</v>
      </c>
      <c r="E43" s="349" t="s">
        <v>1895</v>
      </c>
      <c r="F43" s="346" t="s">
        <v>88</v>
      </c>
      <c r="G43" s="436">
        <v>14</v>
      </c>
      <c r="H43" s="358">
        <v>23</v>
      </c>
      <c r="I43" s="358">
        <v>23</v>
      </c>
      <c r="J43" s="474">
        <v>0.95497953615279674</v>
      </c>
      <c r="K43" s="498">
        <v>2</v>
      </c>
      <c r="L43" s="372"/>
      <c r="M43" s="93"/>
      <c r="N43" s="93"/>
      <c r="O43" s="93"/>
      <c r="P43" s="93"/>
      <c r="Q43" s="93"/>
      <c r="R43" s="357" t="s">
        <v>66</v>
      </c>
      <c r="S43" s="357" t="s">
        <v>66</v>
      </c>
      <c r="T43" s="93"/>
      <c r="U43" s="93"/>
      <c r="V43" s="93"/>
      <c r="W43" s="93"/>
      <c r="X43" s="93"/>
      <c r="Y43" s="357" t="s">
        <v>66</v>
      </c>
      <c r="Z43" s="357" t="s">
        <v>66</v>
      </c>
      <c r="AA43" s="93"/>
      <c r="AB43" s="93"/>
      <c r="AC43" s="93"/>
      <c r="AD43" s="93"/>
      <c r="AE43" s="93"/>
      <c r="AF43" s="357" t="s">
        <v>66</v>
      </c>
      <c r="AG43" s="93"/>
      <c r="AH43" s="360">
        <v>2</v>
      </c>
      <c r="AI43" s="93"/>
      <c r="AJ43" s="93"/>
      <c r="AK43" s="93"/>
      <c r="AL43" s="93"/>
      <c r="AM43" s="357" t="s">
        <v>66</v>
      </c>
      <c r="AN43" s="357" t="s">
        <v>66</v>
      </c>
      <c r="AO43" s="505"/>
    </row>
    <row r="44" spans="1:41" ht="15.6">
      <c r="A44" s="344" t="s">
        <v>167</v>
      </c>
      <c r="B44" s="348" t="s">
        <v>87</v>
      </c>
      <c r="C44" s="348" t="s">
        <v>60</v>
      </c>
      <c r="D44" s="346" t="s">
        <v>89</v>
      </c>
      <c r="E44" s="349" t="s">
        <v>1895</v>
      </c>
      <c r="F44" s="346" t="s">
        <v>88</v>
      </c>
      <c r="G44" s="436">
        <v>14</v>
      </c>
      <c r="H44" s="358">
        <v>10</v>
      </c>
      <c r="I44" s="358">
        <v>10</v>
      </c>
      <c r="J44" s="474">
        <v>0.95497953615279674</v>
      </c>
      <c r="K44" s="498">
        <v>1</v>
      </c>
      <c r="L44" s="372"/>
      <c r="M44" s="93"/>
      <c r="N44" s="93"/>
      <c r="O44" s="93"/>
      <c r="P44" s="93"/>
      <c r="Q44" s="93"/>
      <c r="R44" s="357" t="s">
        <v>66</v>
      </c>
      <c r="S44" s="357" t="s">
        <v>66</v>
      </c>
      <c r="T44" s="93"/>
      <c r="U44" s="359">
        <v>1</v>
      </c>
      <c r="V44" s="93"/>
      <c r="W44" s="93"/>
      <c r="X44" s="93"/>
      <c r="Y44" s="357" t="s">
        <v>66</v>
      </c>
      <c r="Z44" s="357" t="s">
        <v>66</v>
      </c>
      <c r="AA44" s="93"/>
      <c r="AB44" s="93"/>
      <c r="AC44" s="93"/>
      <c r="AD44" s="93"/>
      <c r="AE44" s="93"/>
      <c r="AF44" s="357" t="s">
        <v>66</v>
      </c>
      <c r="AG44" s="93"/>
      <c r="AH44" s="93"/>
      <c r="AI44" s="93"/>
      <c r="AJ44" s="93"/>
      <c r="AK44" s="93"/>
      <c r="AL44" s="93"/>
      <c r="AM44" s="357" t="s">
        <v>66</v>
      </c>
      <c r="AN44" s="357" t="s">
        <v>66</v>
      </c>
      <c r="AO44" s="505"/>
    </row>
    <row r="45" spans="1:41" ht="15.6">
      <c r="A45" s="344" t="s">
        <v>169</v>
      </c>
      <c r="B45" s="348" t="s">
        <v>87</v>
      </c>
      <c r="C45" s="348" t="s">
        <v>60</v>
      </c>
      <c r="D45" s="346" t="s">
        <v>89</v>
      </c>
      <c r="E45" s="349" t="s">
        <v>1895</v>
      </c>
      <c r="F45" s="346" t="s">
        <v>88</v>
      </c>
      <c r="G45" s="436">
        <v>14</v>
      </c>
      <c r="H45" s="358">
        <v>11</v>
      </c>
      <c r="I45" s="358">
        <v>11</v>
      </c>
      <c r="J45" s="474">
        <v>0.95497953615279674</v>
      </c>
      <c r="K45" s="498">
        <v>1</v>
      </c>
      <c r="L45" s="372"/>
      <c r="M45" s="93"/>
      <c r="N45" s="93"/>
      <c r="O45" s="93"/>
      <c r="P45" s="93"/>
      <c r="Q45" s="93"/>
      <c r="R45" s="357" t="s">
        <v>66</v>
      </c>
      <c r="S45" s="357" t="s">
        <v>66</v>
      </c>
      <c r="T45" s="93"/>
      <c r="U45" s="93"/>
      <c r="V45" s="359">
        <v>1</v>
      </c>
      <c r="W45" s="93"/>
      <c r="X45" s="93"/>
      <c r="Y45" s="357" t="s">
        <v>66</v>
      </c>
      <c r="Z45" s="357" t="s">
        <v>66</v>
      </c>
      <c r="AA45" s="93"/>
      <c r="AB45" s="93"/>
      <c r="AC45" s="93"/>
      <c r="AD45" s="93"/>
      <c r="AE45" s="93"/>
      <c r="AF45" s="357" t="s">
        <v>66</v>
      </c>
      <c r="AG45" s="93"/>
      <c r="AH45" s="93"/>
      <c r="AI45" s="93"/>
      <c r="AJ45" s="93"/>
      <c r="AK45" s="93"/>
      <c r="AL45" s="93"/>
      <c r="AM45" s="357" t="s">
        <v>66</v>
      </c>
      <c r="AN45" s="357" t="s">
        <v>66</v>
      </c>
      <c r="AO45" s="505"/>
    </row>
    <row r="46" spans="1:41" ht="16.149999999999999" thickBot="1">
      <c r="A46" s="519" t="s">
        <v>172</v>
      </c>
      <c r="B46" s="520" t="s">
        <v>87</v>
      </c>
      <c r="C46" s="520" t="s">
        <v>60</v>
      </c>
      <c r="D46" s="353" t="s">
        <v>89</v>
      </c>
      <c r="E46" s="368" t="s">
        <v>1895</v>
      </c>
      <c r="F46" s="353" t="s">
        <v>88</v>
      </c>
      <c r="G46" s="437">
        <v>14</v>
      </c>
      <c r="H46" s="362">
        <v>12</v>
      </c>
      <c r="I46" s="362">
        <v>12</v>
      </c>
      <c r="J46" s="478">
        <v>0.95497953615279674</v>
      </c>
      <c r="K46" s="501">
        <v>1</v>
      </c>
      <c r="L46" s="521"/>
      <c r="M46" s="363"/>
      <c r="N46" s="363"/>
      <c r="O46" s="363"/>
      <c r="P46" s="363"/>
      <c r="Q46" s="363"/>
      <c r="R46" s="364" t="s">
        <v>66</v>
      </c>
      <c r="S46" s="364" t="s">
        <v>66</v>
      </c>
      <c r="T46" s="363"/>
      <c r="U46" s="363"/>
      <c r="V46" s="363"/>
      <c r="W46" s="510">
        <v>1</v>
      </c>
      <c r="X46" s="363"/>
      <c r="Y46" s="364" t="s">
        <v>66</v>
      </c>
      <c r="Z46" s="364" t="s">
        <v>66</v>
      </c>
      <c r="AA46" s="363"/>
      <c r="AB46" s="363"/>
      <c r="AC46" s="363"/>
      <c r="AD46" s="363"/>
      <c r="AE46" s="363"/>
      <c r="AF46" s="364" t="s">
        <v>66</v>
      </c>
      <c r="AG46" s="363"/>
      <c r="AH46" s="363"/>
      <c r="AI46" s="363"/>
      <c r="AJ46" s="363"/>
      <c r="AK46" s="363"/>
      <c r="AL46" s="363"/>
      <c r="AM46" s="364" t="s">
        <v>66</v>
      </c>
      <c r="AN46" s="364" t="s">
        <v>66</v>
      </c>
      <c r="AO46" s="522"/>
    </row>
    <row r="47" spans="1:41" ht="15.6">
      <c r="A47" s="470" t="s">
        <v>174</v>
      </c>
      <c r="B47" s="420" t="s">
        <v>74</v>
      </c>
      <c r="C47" s="420" t="s">
        <v>60</v>
      </c>
      <c r="D47" s="365" t="s">
        <v>106</v>
      </c>
      <c r="E47" s="371" t="s">
        <v>1895</v>
      </c>
      <c r="F47" s="366" t="s">
        <v>88</v>
      </c>
      <c r="G47" s="438">
        <v>110</v>
      </c>
      <c r="H47" s="428">
        <v>1</v>
      </c>
      <c r="I47" s="428">
        <v>10</v>
      </c>
      <c r="J47" s="476">
        <v>7.5034106412005457</v>
      </c>
      <c r="K47" s="516">
        <v>3</v>
      </c>
      <c r="L47" s="523">
        <v>3</v>
      </c>
      <c r="M47" s="523">
        <v>3</v>
      </c>
      <c r="N47" s="523">
        <v>3</v>
      </c>
      <c r="O47" s="523">
        <v>3</v>
      </c>
      <c r="P47" s="523">
        <v>3</v>
      </c>
      <c r="Q47" s="523">
        <v>3</v>
      </c>
      <c r="R47" s="355" t="s">
        <v>66</v>
      </c>
      <c r="S47" s="355" t="s">
        <v>66</v>
      </c>
      <c r="T47" s="523">
        <v>3</v>
      </c>
      <c r="U47" s="523">
        <v>3</v>
      </c>
      <c r="V47" s="448"/>
      <c r="W47" s="448"/>
      <c r="X47" s="448"/>
      <c r="Y47" s="355" t="s">
        <v>66</v>
      </c>
      <c r="Z47" s="355" t="s">
        <v>66</v>
      </c>
      <c r="AA47" s="448"/>
      <c r="AB47" s="448"/>
      <c r="AC47" s="448"/>
      <c r="AD47" s="448"/>
      <c r="AE47" s="448"/>
      <c r="AF47" s="355" t="s">
        <v>66</v>
      </c>
      <c r="AG47" s="448"/>
      <c r="AH47" s="448"/>
      <c r="AI47" s="448"/>
      <c r="AJ47" s="448"/>
      <c r="AK47" s="448"/>
      <c r="AL47" s="448"/>
      <c r="AM47" s="355" t="s">
        <v>66</v>
      </c>
      <c r="AN47" s="355" t="s">
        <v>66</v>
      </c>
      <c r="AO47" s="504"/>
    </row>
    <row r="48" spans="1:41" ht="15.6">
      <c r="A48" s="372" t="s">
        <v>177</v>
      </c>
      <c r="B48" s="348" t="s">
        <v>74</v>
      </c>
      <c r="C48" s="351" t="s">
        <v>60</v>
      </c>
      <c r="D48" s="351" t="s">
        <v>106</v>
      </c>
      <c r="E48" s="349" t="s">
        <v>1895</v>
      </c>
      <c r="F48" s="346" t="s">
        <v>88</v>
      </c>
      <c r="G48" s="436">
        <v>66</v>
      </c>
      <c r="H48" s="414">
        <v>11</v>
      </c>
      <c r="I48" s="414">
        <v>17</v>
      </c>
      <c r="J48" s="474">
        <v>4.5020463847203276</v>
      </c>
      <c r="K48" s="498">
        <v>3</v>
      </c>
      <c r="L48" s="372"/>
      <c r="M48" s="93"/>
      <c r="N48" s="93"/>
      <c r="O48" s="93"/>
      <c r="P48" s="93"/>
      <c r="Q48" s="93"/>
      <c r="R48" s="357" t="s">
        <v>66</v>
      </c>
      <c r="S48" s="357" t="s">
        <v>66</v>
      </c>
      <c r="T48" s="93"/>
      <c r="U48" s="93"/>
      <c r="V48" s="361">
        <v>3</v>
      </c>
      <c r="W48" s="361">
        <v>3</v>
      </c>
      <c r="X48" s="361">
        <v>3</v>
      </c>
      <c r="Y48" s="357" t="s">
        <v>66</v>
      </c>
      <c r="Z48" s="357" t="s">
        <v>66</v>
      </c>
      <c r="AA48" s="361">
        <v>3</v>
      </c>
      <c r="AB48" s="361">
        <v>3</v>
      </c>
      <c r="AC48" s="93"/>
      <c r="AD48" s="93"/>
      <c r="AE48" s="93"/>
      <c r="AF48" s="357" t="s">
        <v>66</v>
      </c>
      <c r="AG48" s="93"/>
      <c r="AH48" s="93"/>
      <c r="AI48" s="93"/>
      <c r="AJ48" s="93"/>
      <c r="AK48" s="93"/>
      <c r="AL48" s="93"/>
      <c r="AM48" s="357" t="s">
        <v>66</v>
      </c>
      <c r="AN48" s="357" t="s">
        <v>66</v>
      </c>
      <c r="AO48" s="505"/>
    </row>
    <row r="49" spans="1:41" ht="15.6">
      <c r="A49" s="347" t="s">
        <v>180</v>
      </c>
      <c r="B49" s="367" t="s">
        <v>69</v>
      </c>
      <c r="C49" s="351" t="s">
        <v>60</v>
      </c>
      <c r="D49" s="349" t="s">
        <v>106</v>
      </c>
      <c r="E49" s="349" t="s">
        <v>1895</v>
      </c>
      <c r="F49" s="349" t="s">
        <v>88</v>
      </c>
      <c r="G49" s="436">
        <v>66</v>
      </c>
      <c r="H49" s="413">
        <v>18</v>
      </c>
      <c r="I49" s="413">
        <v>23</v>
      </c>
      <c r="J49" s="474">
        <v>4.5020463847203276</v>
      </c>
      <c r="K49" s="498">
        <v>3</v>
      </c>
      <c r="L49" s="372"/>
      <c r="M49" s="93"/>
      <c r="N49" s="93"/>
      <c r="O49" s="93"/>
      <c r="P49" s="93"/>
      <c r="Q49" s="93"/>
      <c r="R49" s="357" t="s">
        <v>66</v>
      </c>
      <c r="S49" s="357" t="s">
        <v>66</v>
      </c>
      <c r="T49" s="93"/>
      <c r="U49" s="93"/>
      <c r="V49" s="93"/>
      <c r="W49" s="93"/>
      <c r="X49" s="93"/>
      <c r="Y49" s="357" t="s">
        <v>66</v>
      </c>
      <c r="Z49" s="357" t="s">
        <v>66</v>
      </c>
      <c r="AA49" s="93"/>
      <c r="AB49" s="93"/>
      <c r="AC49" s="361">
        <v>3</v>
      </c>
      <c r="AD49" s="361">
        <v>3</v>
      </c>
      <c r="AE49" s="361">
        <v>3</v>
      </c>
      <c r="AF49" s="357" t="s">
        <v>66</v>
      </c>
      <c r="AG49" s="361">
        <v>3</v>
      </c>
      <c r="AH49" s="361">
        <v>3</v>
      </c>
      <c r="AI49" s="93"/>
      <c r="AJ49" s="93"/>
      <c r="AK49" s="93"/>
      <c r="AL49" s="93"/>
      <c r="AM49" s="357" t="s">
        <v>66</v>
      </c>
      <c r="AN49" s="357" t="s">
        <v>66</v>
      </c>
      <c r="AO49" s="505"/>
    </row>
    <row r="50" spans="1:41" ht="16.149999999999999" thickBot="1">
      <c r="A50" s="352" t="s">
        <v>182</v>
      </c>
      <c r="B50" s="373" t="s">
        <v>69</v>
      </c>
      <c r="C50" s="373" t="s">
        <v>302</v>
      </c>
      <c r="D50" s="368" t="s">
        <v>106</v>
      </c>
      <c r="E50" s="368" t="s">
        <v>1895</v>
      </c>
      <c r="F50" s="373" t="s">
        <v>88</v>
      </c>
      <c r="G50" s="437">
        <v>66</v>
      </c>
      <c r="H50" s="415">
        <v>24</v>
      </c>
      <c r="I50" s="415">
        <v>30</v>
      </c>
      <c r="J50" s="478">
        <v>4.5020463847203276</v>
      </c>
      <c r="K50" s="501">
        <v>3</v>
      </c>
      <c r="L50" s="521"/>
      <c r="M50" s="363"/>
      <c r="N50" s="363"/>
      <c r="O50" s="363"/>
      <c r="P50" s="363"/>
      <c r="Q50" s="363"/>
      <c r="R50" s="364" t="s">
        <v>66</v>
      </c>
      <c r="S50" s="364" t="s">
        <v>66</v>
      </c>
      <c r="T50" s="363"/>
      <c r="U50" s="363"/>
      <c r="V50" s="363"/>
      <c r="W50" s="363"/>
      <c r="X50" s="363"/>
      <c r="Y50" s="364" t="s">
        <v>66</v>
      </c>
      <c r="Z50" s="364" t="s">
        <v>66</v>
      </c>
      <c r="AA50" s="363"/>
      <c r="AB50" s="363"/>
      <c r="AC50" s="363"/>
      <c r="AD50" s="363"/>
      <c r="AE50" s="363"/>
      <c r="AF50" s="364" t="s">
        <v>66</v>
      </c>
      <c r="AG50" s="363"/>
      <c r="AH50" s="363"/>
      <c r="AI50" s="524">
        <v>3</v>
      </c>
      <c r="AJ50" s="524">
        <v>3</v>
      </c>
      <c r="AK50" s="524">
        <v>3</v>
      </c>
      <c r="AL50" s="524">
        <v>3</v>
      </c>
      <c r="AM50" s="364" t="s">
        <v>66</v>
      </c>
      <c r="AN50" s="364" t="s">
        <v>66</v>
      </c>
      <c r="AO50" s="525">
        <v>3</v>
      </c>
    </row>
    <row r="51" spans="1:41" ht="15.6">
      <c r="A51" s="331" t="s">
        <v>185</v>
      </c>
      <c r="B51" s="366" t="s">
        <v>69</v>
      </c>
      <c r="C51" s="365" t="s">
        <v>188</v>
      </c>
      <c r="D51" s="366" t="s">
        <v>63</v>
      </c>
      <c r="E51" s="366" t="s">
        <v>1896</v>
      </c>
      <c r="F51" s="366" t="s">
        <v>62</v>
      </c>
      <c r="G51" s="439">
        <v>307.86</v>
      </c>
      <c r="H51" s="416">
        <v>1</v>
      </c>
      <c r="I51" s="416">
        <v>30</v>
      </c>
      <c r="J51" s="465">
        <v>21</v>
      </c>
      <c r="K51" s="334" t="s">
        <v>1875</v>
      </c>
      <c r="L51" s="374" t="s">
        <v>1875</v>
      </c>
      <c r="M51" s="374" t="s">
        <v>1875</v>
      </c>
      <c r="N51" s="374" t="s">
        <v>1875</v>
      </c>
      <c r="O51" s="374" t="s">
        <v>1875</v>
      </c>
      <c r="P51" s="374" t="s">
        <v>1875</v>
      </c>
      <c r="Q51" s="374" t="s">
        <v>1875</v>
      </c>
      <c r="R51" s="355" t="s">
        <v>66</v>
      </c>
      <c r="S51" s="355" t="s">
        <v>66</v>
      </c>
      <c r="T51" s="374" t="s">
        <v>1875</v>
      </c>
      <c r="U51" s="374" t="s">
        <v>1875</v>
      </c>
      <c r="V51" s="374" t="s">
        <v>1875</v>
      </c>
      <c r="W51" s="374" t="s">
        <v>1875</v>
      </c>
      <c r="X51" s="374" t="s">
        <v>1875</v>
      </c>
      <c r="Y51" s="355" t="s">
        <v>66</v>
      </c>
      <c r="Z51" s="355" t="s">
        <v>66</v>
      </c>
      <c r="AA51" s="374" t="s">
        <v>1875</v>
      </c>
      <c r="AB51" s="374" t="s">
        <v>1875</v>
      </c>
      <c r="AC51" s="374" t="s">
        <v>1875</v>
      </c>
      <c r="AD51" s="374" t="s">
        <v>1875</v>
      </c>
      <c r="AE51" s="374" t="s">
        <v>1875</v>
      </c>
      <c r="AF51" s="355" t="s">
        <v>66</v>
      </c>
      <c r="AG51" s="374" t="s">
        <v>1875</v>
      </c>
      <c r="AH51" s="374" t="s">
        <v>1875</v>
      </c>
      <c r="AI51" s="374" t="s">
        <v>1875</v>
      </c>
      <c r="AJ51" s="374" t="s">
        <v>1875</v>
      </c>
      <c r="AK51" s="374" t="s">
        <v>1875</v>
      </c>
      <c r="AL51" s="374" t="s">
        <v>1875</v>
      </c>
      <c r="AM51" s="355" t="s">
        <v>66</v>
      </c>
      <c r="AN51" s="355" t="s">
        <v>66</v>
      </c>
      <c r="AO51" s="513" t="s">
        <v>1875</v>
      </c>
    </row>
    <row r="52" spans="1:41" ht="15.6">
      <c r="A52" s="335" t="s">
        <v>190</v>
      </c>
      <c r="B52" s="346" t="s">
        <v>61</v>
      </c>
      <c r="C52" s="351" t="s">
        <v>192</v>
      </c>
      <c r="D52" s="346" t="s">
        <v>63</v>
      </c>
      <c r="E52" s="346" t="s">
        <v>1896</v>
      </c>
      <c r="F52" s="346" t="s">
        <v>62</v>
      </c>
      <c r="G52" s="440">
        <v>76.965000000000003</v>
      </c>
      <c r="H52" s="417">
        <v>1</v>
      </c>
      <c r="I52" s="417">
        <v>17</v>
      </c>
      <c r="J52" s="466">
        <v>10.5</v>
      </c>
      <c r="K52" s="338" t="s">
        <v>1891</v>
      </c>
      <c r="L52" s="356" t="s">
        <v>1891</v>
      </c>
      <c r="M52" s="356" t="s">
        <v>1891</v>
      </c>
      <c r="N52" s="356" t="s">
        <v>1891</v>
      </c>
      <c r="O52" s="356" t="s">
        <v>1891</v>
      </c>
      <c r="P52" s="356" t="s">
        <v>1891</v>
      </c>
      <c r="Q52" s="93"/>
      <c r="R52" s="357" t="s">
        <v>66</v>
      </c>
      <c r="S52" s="357" t="s">
        <v>66</v>
      </c>
      <c r="T52" s="356" t="s">
        <v>1891</v>
      </c>
      <c r="U52" s="356" t="s">
        <v>1891</v>
      </c>
      <c r="V52" s="356" t="s">
        <v>1891</v>
      </c>
      <c r="W52" s="356" t="s">
        <v>1891</v>
      </c>
      <c r="X52" s="93"/>
      <c r="Y52" s="357" t="s">
        <v>66</v>
      </c>
      <c r="Z52" s="357" t="s">
        <v>66</v>
      </c>
      <c r="AA52" s="356" t="s">
        <v>1891</v>
      </c>
      <c r="AB52" s="356" t="s">
        <v>1891</v>
      </c>
      <c r="AC52" s="93"/>
      <c r="AD52" s="93"/>
      <c r="AE52" s="93"/>
      <c r="AF52" s="357" t="s">
        <v>66</v>
      </c>
      <c r="AG52" s="93"/>
      <c r="AH52" s="93"/>
      <c r="AI52" s="93"/>
      <c r="AJ52" s="93"/>
      <c r="AK52" s="93"/>
      <c r="AL52" s="93"/>
      <c r="AM52" s="357" t="s">
        <v>66</v>
      </c>
      <c r="AN52" s="357" t="s">
        <v>66</v>
      </c>
      <c r="AO52" s="505"/>
    </row>
    <row r="53" spans="1:41" ht="15.6">
      <c r="A53" s="335" t="s">
        <v>194</v>
      </c>
      <c r="B53" s="346" t="s">
        <v>74</v>
      </c>
      <c r="C53" s="351" t="s">
        <v>188</v>
      </c>
      <c r="D53" s="346" t="s">
        <v>63</v>
      </c>
      <c r="E53" s="346" t="s">
        <v>1896</v>
      </c>
      <c r="F53" s="346" t="s">
        <v>62</v>
      </c>
      <c r="G53" s="440">
        <v>76.965000000000003</v>
      </c>
      <c r="H53" s="417">
        <v>6</v>
      </c>
      <c r="I53" s="417">
        <v>30</v>
      </c>
      <c r="J53" s="466">
        <v>10.5</v>
      </c>
      <c r="K53" s="338" t="s">
        <v>1891</v>
      </c>
      <c r="L53" s="93"/>
      <c r="M53" s="93"/>
      <c r="N53" s="93"/>
      <c r="O53" s="93"/>
      <c r="P53" s="93"/>
      <c r="Q53" s="356" t="s">
        <v>1891</v>
      </c>
      <c r="R53" s="357" t="s">
        <v>66</v>
      </c>
      <c r="S53" s="357" t="s">
        <v>66</v>
      </c>
      <c r="T53" s="93"/>
      <c r="U53" s="93"/>
      <c r="V53" s="93"/>
      <c r="W53" s="93"/>
      <c r="X53" s="356" t="s">
        <v>1891</v>
      </c>
      <c r="Y53" s="357" t="s">
        <v>66</v>
      </c>
      <c r="Z53" s="357" t="s">
        <v>66</v>
      </c>
      <c r="AA53" s="93"/>
      <c r="AB53" s="356" t="s">
        <v>1891</v>
      </c>
      <c r="AC53" s="356" t="s">
        <v>1891</v>
      </c>
      <c r="AD53" s="356" t="s">
        <v>1891</v>
      </c>
      <c r="AE53" s="356" t="s">
        <v>1891</v>
      </c>
      <c r="AF53" s="357" t="s">
        <v>66</v>
      </c>
      <c r="AG53" s="356" t="s">
        <v>1891</v>
      </c>
      <c r="AH53" s="356" t="s">
        <v>1891</v>
      </c>
      <c r="AI53" s="356" t="s">
        <v>1891</v>
      </c>
      <c r="AJ53" s="356" t="s">
        <v>1891</v>
      </c>
      <c r="AK53" s="356" t="s">
        <v>1891</v>
      </c>
      <c r="AL53" s="356" t="s">
        <v>1891</v>
      </c>
      <c r="AM53" s="357" t="s">
        <v>66</v>
      </c>
      <c r="AN53" s="357" t="s">
        <v>66</v>
      </c>
      <c r="AO53" s="497" t="s">
        <v>1891</v>
      </c>
    </row>
    <row r="54" spans="1:41" ht="15.6">
      <c r="A54" s="335" t="s">
        <v>197</v>
      </c>
      <c r="B54" s="346" t="s">
        <v>69</v>
      </c>
      <c r="C54" s="351" t="s">
        <v>199</v>
      </c>
      <c r="D54" s="346" t="s">
        <v>63</v>
      </c>
      <c r="E54" s="346" t="s">
        <v>1896</v>
      </c>
      <c r="F54" s="346" t="s">
        <v>62</v>
      </c>
      <c r="G54" s="440">
        <v>52</v>
      </c>
      <c r="H54" s="417">
        <v>1</v>
      </c>
      <c r="I54" s="417">
        <v>18</v>
      </c>
      <c r="J54" s="466">
        <v>13</v>
      </c>
      <c r="K54" s="338" t="s">
        <v>1892</v>
      </c>
      <c r="L54" s="375" t="s">
        <v>1892</v>
      </c>
      <c r="M54" s="375" t="s">
        <v>1892</v>
      </c>
      <c r="N54" s="375" t="s">
        <v>1892</v>
      </c>
      <c r="O54" s="375" t="s">
        <v>1892</v>
      </c>
      <c r="P54" s="375" t="s">
        <v>1892</v>
      </c>
      <c r="Q54" s="375" t="s">
        <v>1892</v>
      </c>
      <c r="R54" s="357" t="s">
        <v>66</v>
      </c>
      <c r="S54" s="357" t="s">
        <v>66</v>
      </c>
      <c r="T54" s="375" t="s">
        <v>1892</v>
      </c>
      <c r="U54" s="375" t="s">
        <v>1892</v>
      </c>
      <c r="V54" s="375" t="s">
        <v>1892</v>
      </c>
      <c r="W54" s="375" t="s">
        <v>1892</v>
      </c>
      <c r="X54" s="375" t="s">
        <v>1892</v>
      </c>
      <c r="Y54" s="357" t="s">
        <v>66</v>
      </c>
      <c r="Z54" s="357" t="s">
        <v>66</v>
      </c>
      <c r="AA54" s="375" t="s">
        <v>1892</v>
      </c>
      <c r="AB54" s="375" t="s">
        <v>1892</v>
      </c>
      <c r="AC54" s="375" t="s">
        <v>1892</v>
      </c>
      <c r="AD54" s="93"/>
      <c r="AE54" s="93"/>
      <c r="AF54" s="357" t="s">
        <v>66</v>
      </c>
      <c r="AG54" s="93"/>
      <c r="AH54" s="93"/>
      <c r="AI54" s="93"/>
      <c r="AJ54" s="93"/>
      <c r="AK54" s="93"/>
      <c r="AL54" s="93"/>
      <c r="AM54" s="357" t="s">
        <v>66</v>
      </c>
      <c r="AN54" s="357" t="s">
        <v>66</v>
      </c>
      <c r="AO54" s="505"/>
    </row>
    <row r="55" spans="1:41" ht="15.6">
      <c r="A55" s="335" t="s">
        <v>201</v>
      </c>
      <c r="B55" s="346" t="s">
        <v>203</v>
      </c>
      <c r="C55" s="351" t="s">
        <v>199</v>
      </c>
      <c r="D55" s="346" t="s">
        <v>63</v>
      </c>
      <c r="E55" s="346" t="s">
        <v>1896</v>
      </c>
      <c r="F55" s="346" t="s">
        <v>62</v>
      </c>
      <c r="G55" s="440">
        <v>20</v>
      </c>
      <c r="H55" s="417">
        <v>22</v>
      </c>
      <c r="I55" s="417">
        <v>26</v>
      </c>
      <c r="J55" s="466">
        <v>5</v>
      </c>
      <c r="K55" s="338" t="s">
        <v>1892</v>
      </c>
      <c r="L55" s="93"/>
      <c r="M55" s="93"/>
      <c r="N55" s="93"/>
      <c r="O55" s="93"/>
      <c r="P55" s="93"/>
      <c r="Q55" s="93"/>
      <c r="R55" s="357" t="s">
        <v>66</v>
      </c>
      <c r="S55" s="357" t="s">
        <v>66</v>
      </c>
      <c r="T55" s="93"/>
      <c r="U55" s="93"/>
      <c r="V55" s="93"/>
      <c r="W55" s="93"/>
      <c r="X55" s="93"/>
      <c r="Y55" s="357" t="s">
        <v>66</v>
      </c>
      <c r="Z55" s="357" t="s">
        <v>66</v>
      </c>
      <c r="AA55" s="93"/>
      <c r="AB55" s="93"/>
      <c r="AC55" s="93"/>
      <c r="AD55" s="93"/>
      <c r="AE55" s="93"/>
      <c r="AF55" s="357" t="s">
        <v>66</v>
      </c>
      <c r="AG55" s="375" t="s">
        <v>1892</v>
      </c>
      <c r="AH55" s="375" t="s">
        <v>1892</v>
      </c>
      <c r="AI55" s="375" t="s">
        <v>1892</v>
      </c>
      <c r="AJ55" s="375" t="s">
        <v>1892</v>
      </c>
      <c r="AK55" s="375" t="s">
        <v>1892</v>
      </c>
      <c r="AL55" s="93"/>
      <c r="AM55" s="357" t="s">
        <v>66</v>
      </c>
      <c r="AN55" s="357" t="s">
        <v>66</v>
      </c>
      <c r="AO55" s="505"/>
    </row>
    <row r="56" spans="1:41" ht="15.6">
      <c r="A56" s="335" t="s">
        <v>205</v>
      </c>
      <c r="B56" s="346" t="s">
        <v>61</v>
      </c>
      <c r="C56" s="351" t="s">
        <v>199</v>
      </c>
      <c r="D56" s="346" t="s">
        <v>63</v>
      </c>
      <c r="E56" s="346" t="s">
        <v>1896</v>
      </c>
      <c r="F56" s="346" t="s">
        <v>62</v>
      </c>
      <c r="G56" s="440">
        <v>8</v>
      </c>
      <c r="H56" s="417">
        <v>19</v>
      </c>
      <c r="I56" s="417">
        <v>27</v>
      </c>
      <c r="J56" s="466">
        <v>2</v>
      </c>
      <c r="K56" s="338" t="s">
        <v>1892</v>
      </c>
      <c r="L56" s="93"/>
      <c r="M56" s="93"/>
      <c r="N56" s="93"/>
      <c r="O56" s="93"/>
      <c r="P56" s="93"/>
      <c r="Q56" s="93"/>
      <c r="R56" s="357" t="s">
        <v>66</v>
      </c>
      <c r="S56" s="357" t="s">
        <v>66</v>
      </c>
      <c r="T56" s="93"/>
      <c r="U56" s="93"/>
      <c r="V56" s="93"/>
      <c r="W56" s="93"/>
      <c r="X56" s="93"/>
      <c r="Y56" s="357" t="s">
        <v>66</v>
      </c>
      <c r="Z56" s="357" t="s">
        <v>66</v>
      </c>
      <c r="AA56" s="93"/>
      <c r="AB56" s="93"/>
      <c r="AC56" s="93"/>
      <c r="AD56" s="375" t="s">
        <v>1892</v>
      </c>
      <c r="AE56" s="375" t="s">
        <v>1892</v>
      </c>
      <c r="AF56" s="357" t="s">
        <v>66</v>
      </c>
      <c r="AG56" s="93"/>
      <c r="AH56" s="93"/>
      <c r="AI56" s="93"/>
      <c r="AJ56" s="93"/>
      <c r="AK56" s="93"/>
      <c r="AL56" s="375" t="s">
        <v>1892</v>
      </c>
      <c r="AM56" s="357" t="s">
        <v>66</v>
      </c>
      <c r="AN56" s="357" t="s">
        <v>66</v>
      </c>
      <c r="AO56" s="505"/>
    </row>
    <row r="57" spans="1:41" ht="15.6">
      <c r="A57" s="335" t="s">
        <v>208</v>
      </c>
      <c r="B57" s="346" t="s">
        <v>87</v>
      </c>
      <c r="C57" s="351" t="s">
        <v>199</v>
      </c>
      <c r="D57" s="346" t="s">
        <v>63</v>
      </c>
      <c r="E57" s="346" t="s">
        <v>1896</v>
      </c>
      <c r="F57" s="346" t="s">
        <v>62</v>
      </c>
      <c r="G57" s="440">
        <v>4</v>
      </c>
      <c r="H57" s="417">
        <v>30</v>
      </c>
      <c r="I57" s="417">
        <v>30</v>
      </c>
      <c r="J57" s="466">
        <v>1</v>
      </c>
      <c r="K57" s="338" t="s">
        <v>1892</v>
      </c>
      <c r="L57" s="93"/>
      <c r="M57" s="93"/>
      <c r="N57" s="93"/>
      <c r="O57" s="93"/>
      <c r="P57" s="93"/>
      <c r="Q57" s="93"/>
      <c r="R57" s="357" t="s">
        <v>66</v>
      </c>
      <c r="S57" s="357" t="s">
        <v>66</v>
      </c>
      <c r="T57" s="93"/>
      <c r="U57" s="93"/>
      <c r="V57" s="93"/>
      <c r="W57" s="93"/>
      <c r="X57" s="93"/>
      <c r="Y57" s="357" t="s">
        <v>66</v>
      </c>
      <c r="Z57" s="357" t="s">
        <v>66</v>
      </c>
      <c r="AA57" s="93"/>
      <c r="AB57" s="93"/>
      <c r="AC57" s="93"/>
      <c r="AD57" s="93"/>
      <c r="AE57" s="93"/>
      <c r="AF57" s="357" t="s">
        <v>66</v>
      </c>
      <c r="AG57" s="93"/>
      <c r="AH57" s="93"/>
      <c r="AI57" s="93"/>
      <c r="AJ57" s="93"/>
      <c r="AK57" s="93"/>
      <c r="AL57" s="93"/>
      <c r="AM57" s="357" t="s">
        <v>66</v>
      </c>
      <c r="AN57" s="357" t="s">
        <v>66</v>
      </c>
      <c r="AO57" s="500" t="s">
        <v>1892</v>
      </c>
    </row>
    <row r="58" spans="1:41" ht="15.6">
      <c r="A58" s="376" t="s">
        <v>210</v>
      </c>
      <c r="B58" s="345" t="s">
        <v>69</v>
      </c>
      <c r="C58" s="351" t="s">
        <v>212</v>
      </c>
      <c r="D58" s="348" t="s">
        <v>63</v>
      </c>
      <c r="E58" s="346" t="s">
        <v>1896</v>
      </c>
      <c r="F58" s="345" t="s">
        <v>62</v>
      </c>
      <c r="G58" s="440">
        <v>249.22</v>
      </c>
      <c r="H58" s="418">
        <v>1</v>
      </c>
      <c r="I58" s="418">
        <v>24</v>
      </c>
      <c r="J58" s="466">
        <v>17</v>
      </c>
      <c r="K58" s="338" t="s">
        <v>1893</v>
      </c>
      <c r="L58" s="369" t="s">
        <v>1893</v>
      </c>
      <c r="M58" s="369" t="s">
        <v>1893</v>
      </c>
      <c r="N58" s="369" t="s">
        <v>1893</v>
      </c>
      <c r="O58" s="369" t="s">
        <v>1893</v>
      </c>
      <c r="P58" s="369" t="s">
        <v>1893</v>
      </c>
      <c r="Q58" s="369" t="s">
        <v>1893</v>
      </c>
      <c r="R58" s="357" t="s">
        <v>66</v>
      </c>
      <c r="S58" s="357" t="s">
        <v>66</v>
      </c>
      <c r="T58" s="369" t="s">
        <v>1893</v>
      </c>
      <c r="U58" s="369" t="s">
        <v>1893</v>
      </c>
      <c r="V58" s="369" t="s">
        <v>1893</v>
      </c>
      <c r="W58" s="369" t="s">
        <v>1893</v>
      </c>
      <c r="X58" s="369" t="s">
        <v>1893</v>
      </c>
      <c r="Y58" s="357" t="s">
        <v>66</v>
      </c>
      <c r="Z58" s="357" t="s">
        <v>66</v>
      </c>
      <c r="AA58" s="369" t="s">
        <v>1893</v>
      </c>
      <c r="AB58" s="369" t="s">
        <v>1893</v>
      </c>
      <c r="AC58" s="369" t="s">
        <v>1893</v>
      </c>
      <c r="AD58" s="369" t="s">
        <v>1893</v>
      </c>
      <c r="AE58" s="369" t="s">
        <v>1893</v>
      </c>
      <c r="AF58" s="357" t="s">
        <v>66</v>
      </c>
      <c r="AG58" s="369" t="s">
        <v>1893</v>
      </c>
      <c r="AH58" s="369" t="s">
        <v>1893</v>
      </c>
      <c r="AI58" s="369" t="s">
        <v>1893</v>
      </c>
      <c r="AJ58" s="93"/>
      <c r="AK58" s="93"/>
      <c r="AL58" s="93"/>
      <c r="AM58" s="357" t="s">
        <v>66</v>
      </c>
      <c r="AN58" s="357" t="s">
        <v>66</v>
      </c>
      <c r="AO58" s="505"/>
    </row>
    <row r="59" spans="1:41" ht="15.6">
      <c r="A59" s="376" t="s">
        <v>213</v>
      </c>
      <c r="B59" s="345" t="s">
        <v>69</v>
      </c>
      <c r="C59" s="351" t="s">
        <v>212</v>
      </c>
      <c r="D59" s="348" t="s">
        <v>63</v>
      </c>
      <c r="E59" s="346" t="s">
        <v>1896</v>
      </c>
      <c r="F59" s="345" t="s">
        <v>62</v>
      </c>
      <c r="G59" s="440">
        <v>58.64</v>
      </c>
      <c r="H59" s="418">
        <v>24</v>
      </c>
      <c r="I59" s="418">
        <v>30</v>
      </c>
      <c r="J59" s="466">
        <v>4</v>
      </c>
      <c r="K59" s="338" t="s">
        <v>1893</v>
      </c>
      <c r="L59" s="93"/>
      <c r="M59" s="93"/>
      <c r="N59" s="93"/>
      <c r="O59" s="93"/>
      <c r="P59" s="93"/>
      <c r="Q59" s="93"/>
      <c r="R59" s="357" t="s">
        <v>66</v>
      </c>
      <c r="S59" s="357" t="s">
        <v>66</v>
      </c>
      <c r="T59" s="93"/>
      <c r="U59" s="93"/>
      <c r="V59" s="93"/>
      <c r="W59" s="93"/>
      <c r="X59" s="93"/>
      <c r="Y59" s="357" t="s">
        <v>66</v>
      </c>
      <c r="Z59" s="357" t="s">
        <v>66</v>
      </c>
      <c r="AA59" s="93"/>
      <c r="AB59" s="93"/>
      <c r="AC59" s="93"/>
      <c r="AD59" s="93"/>
      <c r="AE59" s="93"/>
      <c r="AF59" s="357" t="s">
        <v>66</v>
      </c>
      <c r="AG59" s="93"/>
      <c r="AH59" s="93"/>
      <c r="AI59" s="369" t="s">
        <v>1893</v>
      </c>
      <c r="AJ59" s="369" t="s">
        <v>1893</v>
      </c>
      <c r="AK59" s="369" t="s">
        <v>1893</v>
      </c>
      <c r="AL59" s="369" t="s">
        <v>1893</v>
      </c>
      <c r="AM59" s="357" t="s">
        <v>66</v>
      </c>
      <c r="AN59" s="357" t="s">
        <v>66</v>
      </c>
      <c r="AO59" s="499" t="s">
        <v>1893</v>
      </c>
    </row>
    <row r="60" spans="1:41" ht="15.6">
      <c r="A60" s="376" t="s">
        <v>214</v>
      </c>
      <c r="B60" s="345" t="s">
        <v>74</v>
      </c>
      <c r="C60" s="351" t="s">
        <v>216</v>
      </c>
      <c r="D60" s="345" t="s">
        <v>63</v>
      </c>
      <c r="E60" s="346" t="s">
        <v>1896</v>
      </c>
      <c r="F60" s="345" t="s">
        <v>62</v>
      </c>
      <c r="G60" s="440">
        <v>307.86</v>
      </c>
      <c r="H60" s="418">
        <v>1</v>
      </c>
      <c r="I60" s="418">
        <v>30</v>
      </c>
      <c r="J60" s="466">
        <v>21</v>
      </c>
      <c r="K60" s="338" t="s">
        <v>1894</v>
      </c>
      <c r="L60" s="356" t="s">
        <v>1894</v>
      </c>
      <c r="M60" s="356" t="s">
        <v>1894</v>
      </c>
      <c r="N60" s="356" t="s">
        <v>1894</v>
      </c>
      <c r="O60" s="356" t="s">
        <v>1894</v>
      </c>
      <c r="P60" s="356" t="s">
        <v>1894</v>
      </c>
      <c r="Q60" s="356" t="s">
        <v>1894</v>
      </c>
      <c r="R60" s="357" t="s">
        <v>66</v>
      </c>
      <c r="S60" s="357" t="s">
        <v>66</v>
      </c>
      <c r="T60" s="356" t="s">
        <v>1894</v>
      </c>
      <c r="U60" s="356" t="s">
        <v>1894</v>
      </c>
      <c r="V60" s="356" t="s">
        <v>1894</v>
      </c>
      <c r="W60" s="356" t="s">
        <v>1894</v>
      </c>
      <c r="X60" s="356" t="s">
        <v>1894</v>
      </c>
      <c r="Y60" s="357" t="s">
        <v>66</v>
      </c>
      <c r="Z60" s="357" t="s">
        <v>66</v>
      </c>
      <c r="AA60" s="356" t="s">
        <v>1894</v>
      </c>
      <c r="AB60" s="356" t="s">
        <v>1894</v>
      </c>
      <c r="AC60" s="356" t="s">
        <v>1894</v>
      </c>
      <c r="AD60" s="356" t="s">
        <v>1894</v>
      </c>
      <c r="AE60" s="356" t="s">
        <v>1894</v>
      </c>
      <c r="AF60" s="357" t="s">
        <v>66</v>
      </c>
      <c r="AG60" s="356" t="s">
        <v>1894</v>
      </c>
      <c r="AH60" s="356" t="s">
        <v>1894</v>
      </c>
      <c r="AI60" s="356" t="s">
        <v>1894</v>
      </c>
      <c r="AJ60" s="356" t="s">
        <v>1894</v>
      </c>
      <c r="AK60" s="356" t="s">
        <v>1894</v>
      </c>
      <c r="AL60" s="356" t="s">
        <v>1894</v>
      </c>
      <c r="AM60" s="357" t="s">
        <v>66</v>
      </c>
      <c r="AN60" s="357" t="s">
        <v>66</v>
      </c>
      <c r="AO60" s="497" t="s">
        <v>1894</v>
      </c>
    </row>
    <row r="61" spans="1:41" ht="16.149999999999999" thickBot="1">
      <c r="A61" s="526" t="s">
        <v>218</v>
      </c>
      <c r="B61" s="527" t="s">
        <v>74</v>
      </c>
      <c r="C61" s="528" t="s">
        <v>220</v>
      </c>
      <c r="D61" s="527" t="s">
        <v>63</v>
      </c>
      <c r="E61" s="473" t="s">
        <v>1896</v>
      </c>
      <c r="F61" s="527" t="s">
        <v>62</v>
      </c>
      <c r="G61" s="529">
        <v>307.86</v>
      </c>
      <c r="H61" s="530">
        <v>1</v>
      </c>
      <c r="I61" s="530">
        <v>30</v>
      </c>
      <c r="J61" s="531">
        <v>21</v>
      </c>
      <c r="K61" s="471" t="s">
        <v>1897</v>
      </c>
      <c r="L61" s="472" t="s">
        <v>1897</v>
      </c>
      <c r="M61" s="472" t="s">
        <v>1897</v>
      </c>
      <c r="N61" s="472" t="s">
        <v>1897</v>
      </c>
      <c r="O61" s="472" t="s">
        <v>1897</v>
      </c>
      <c r="P61" s="472" t="s">
        <v>1897</v>
      </c>
      <c r="Q61" s="472" t="s">
        <v>1897</v>
      </c>
      <c r="R61" s="445" t="s">
        <v>66</v>
      </c>
      <c r="S61" s="445" t="s">
        <v>66</v>
      </c>
      <c r="T61" s="472" t="s">
        <v>1897</v>
      </c>
      <c r="U61" s="472" t="s">
        <v>1897</v>
      </c>
      <c r="V61" s="472" t="s">
        <v>1897</v>
      </c>
      <c r="W61" s="472" t="s">
        <v>1897</v>
      </c>
      <c r="X61" s="472" t="s">
        <v>1897</v>
      </c>
      <c r="Y61" s="445" t="s">
        <v>66</v>
      </c>
      <c r="Z61" s="445" t="s">
        <v>66</v>
      </c>
      <c r="AA61" s="472" t="s">
        <v>1897</v>
      </c>
      <c r="AB61" s="472" t="s">
        <v>1897</v>
      </c>
      <c r="AC61" s="472" t="s">
        <v>1897</v>
      </c>
      <c r="AD61" s="472" t="s">
        <v>1897</v>
      </c>
      <c r="AE61" s="472" t="s">
        <v>1897</v>
      </c>
      <c r="AF61" s="445" t="s">
        <v>66</v>
      </c>
      <c r="AG61" s="472" t="s">
        <v>1897</v>
      </c>
      <c r="AH61" s="472" t="s">
        <v>1897</v>
      </c>
      <c r="AI61" s="472" t="s">
        <v>1897</v>
      </c>
      <c r="AJ61" s="472" t="s">
        <v>1897</v>
      </c>
      <c r="AK61" s="472" t="s">
        <v>1897</v>
      </c>
      <c r="AL61" s="472" t="s">
        <v>1897</v>
      </c>
      <c r="AM61" s="445" t="s">
        <v>66</v>
      </c>
      <c r="AN61" s="445" t="s">
        <v>66</v>
      </c>
      <c r="AO61" s="532" t="s">
        <v>1897</v>
      </c>
    </row>
    <row r="62" spans="1:41" ht="15.6">
      <c r="A62" s="343" t="s">
        <v>221</v>
      </c>
      <c r="B62" s="533" t="s">
        <v>87</v>
      </c>
      <c r="C62" s="365" t="s">
        <v>220</v>
      </c>
      <c r="D62" s="533" t="s">
        <v>89</v>
      </c>
      <c r="E62" s="366" t="s">
        <v>1896</v>
      </c>
      <c r="F62" s="533" t="s">
        <v>88</v>
      </c>
      <c r="G62" s="438">
        <v>8</v>
      </c>
      <c r="H62" s="428">
        <v>27</v>
      </c>
      <c r="I62" s="428">
        <v>27</v>
      </c>
      <c r="J62" s="534">
        <v>0.54570259208731242</v>
      </c>
      <c r="K62" s="334">
        <v>4</v>
      </c>
      <c r="L62" s="448"/>
      <c r="M62" s="448"/>
      <c r="N62" s="448"/>
      <c r="O62" s="448"/>
      <c r="P62" s="448"/>
      <c r="Q62" s="448"/>
      <c r="R62" s="355" t="s">
        <v>66</v>
      </c>
      <c r="S62" s="355" t="s">
        <v>66</v>
      </c>
      <c r="T62" s="448"/>
      <c r="U62" s="448"/>
      <c r="V62" s="448"/>
      <c r="W62" s="448"/>
      <c r="X62" s="448"/>
      <c r="Y62" s="355" t="s">
        <v>66</v>
      </c>
      <c r="Z62" s="355" t="s">
        <v>66</v>
      </c>
      <c r="AA62" s="448"/>
      <c r="AB62" s="448"/>
      <c r="AC62" s="448"/>
      <c r="AD62" s="448"/>
      <c r="AE62" s="93"/>
      <c r="AF62" s="355" t="s">
        <v>66</v>
      </c>
      <c r="AG62" s="448"/>
      <c r="AH62" s="448"/>
      <c r="AI62" s="448"/>
      <c r="AJ62" s="448"/>
      <c r="AK62" s="448"/>
      <c r="AL62" s="479">
        <v>4</v>
      </c>
      <c r="AM62" s="355" t="s">
        <v>66</v>
      </c>
      <c r="AN62" s="355" t="s">
        <v>66</v>
      </c>
      <c r="AO62" s="504"/>
    </row>
    <row r="63" spans="1:41" ht="15.6">
      <c r="A63" s="344" t="s">
        <v>223</v>
      </c>
      <c r="B63" s="345" t="s">
        <v>87</v>
      </c>
      <c r="C63" s="351" t="s">
        <v>192</v>
      </c>
      <c r="D63" s="345" t="s">
        <v>89</v>
      </c>
      <c r="E63" s="346" t="s">
        <v>1896</v>
      </c>
      <c r="F63" s="345" t="s">
        <v>88</v>
      </c>
      <c r="G63" s="436">
        <v>8</v>
      </c>
      <c r="H63" s="358">
        <v>6</v>
      </c>
      <c r="I63" s="358">
        <v>6</v>
      </c>
      <c r="J63" s="468">
        <v>0.54570259208731242</v>
      </c>
      <c r="K63" s="338">
        <v>1</v>
      </c>
      <c r="L63" s="93"/>
      <c r="M63" s="93"/>
      <c r="N63" s="93"/>
      <c r="O63" s="93"/>
      <c r="P63" s="93"/>
      <c r="Q63" s="359">
        <v>1</v>
      </c>
      <c r="R63" s="357" t="s">
        <v>66</v>
      </c>
      <c r="S63" s="357" t="s">
        <v>66</v>
      </c>
      <c r="T63" s="93"/>
      <c r="U63" s="93"/>
      <c r="V63" s="93"/>
      <c r="W63" s="93"/>
      <c r="X63" s="93"/>
      <c r="Y63" s="357" t="s">
        <v>66</v>
      </c>
      <c r="Z63" s="357" t="s">
        <v>66</v>
      </c>
      <c r="AA63" s="93"/>
      <c r="AB63" s="93"/>
      <c r="AC63" s="93"/>
      <c r="AD63" s="93"/>
      <c r="AE63" s="93"/>
      <c r="AF63" s="357" t="s">
        <v>66</v>
      </c>
      <c r="AG63" s="93"/>
      <c r="AH63" s="93"/>
      <c r="AI63" s="93"/>
      <c r="AJ63" s="93"/>
      <c r="AK63" s="93"/>
      <c r="AL63" s="93"/>
      <c r="AM63" s="357" t="s">
        <v>66</v>
      </c>
      <c r="AN63" s="357" t="s">
        <v>66</v>
      </c>
      <c r="AO63" s="505"/>
    </row>
    <row r="64" spans="1:41" ht="15.6">
      <c r="A64" s="344" t="s">
        <v>225</v>
      </c>
      <c r="B64" s="345" t="s">
        <v>87</v>
      </c>
      <c r="C64" s="351" t="s">
        <v>192</v>
      </c>
      <c r="D64" s="345" t="s">
        <v>89</v>
      </c>
      <c r="E64" s="346" t="s">
        <v>1896</v>
      </c>
      <c r="F64" s="345" t="s">
        <v>88</v>
      </c>
      <c r="G64" s="436">
        <v>8</v>
      </c>
      <c r="H64" s="358">
        <v>13</v>
      </c>
      <c r="I64" s="358">
        <v>13</v>
      </c>
      <c r="J64" s="468">
        <v>0.54570259208731242</v>
      </c>
      <c r="K64" s="338">
        <v>1</v>
      </c>
      <c r="L64" s="93"/>
      <c r="M64" s="93"/>
      <c r="N64" s="93"/>
      <c r="O64" s="93"/>
      <c r="P64" s="93"/>
      <c r="Q64" s="93"/>
      <c r="R64" s="357" t="s">
        <v>66</v>
      </c>
      <c r="S64" s="357" t="s">
        <v>66</v>
      </c>
      <c r="T64" s="93"/>
      <c r="U64" s="93"/>
      <c r="V64" s="93"/>
      <c r="W64" s="93"/>
      <c r="X64" s="359">
        <v>1</v>
      </c>
      <c r="Y64" s="357" t="s">
        <v>66</v>
      </c>
      <c r="Z64" s="357" t="s">
        <v>66</v>
      </c>
      <c r="AA64" s="93"/>
      <c r="AB64" s="93"/>
      <c r="AC64" s="93"/>
      <c r="AD64" s="93"/>
      <c r="AE64" s="93"/>
      <c r="AF64" s="357" t="s">
        <v>66</v>
      </c>
      <c r="AG64" s="93"/>
      <c r="AH64" s="93"/>
      <c r="AI64" s="93"/>
      <c r="AJ64" s="93"/>
      <c r="AK64" s="93"/>
      <c r="AL64" s="93"/>
      <c r="AM64" s="357" t="s">
        <v>66</v>
      </c>
      <c r="AN64" s="357" t="s">
        <v>66</v>
      </c>
      <c r="AO64" s="505"/>
    </row>
    <row r="65" spans="1:41" ht="15.6">
      <c r="A65" s="344" t="s">
        <v>227</v>
      </c>
      <c r="B65" s="345" t="s">
        <v>87</v>
      </c>
      <c r="C65" s="351" t="s">
        <v>212</v>
      </c>
      <c r="D65" s="345" t="s">
        <v>89</v>
      </c>
      <c r="E65" s="346" t="s">
        <v>1896</v>
      </c>
      <c r="F65" s="345" t="s">
        <v>88</v>
      </c>
      <c r="G65" s="436">
        <v>8</v>
      </c>
      <c r="H65" s="358">
        <v>12</v>
      </c>
      <c r="I65" s="358">
        <v>12</v>
      </c>
      <c r="J65" s="468">
        <v>0.54570259208731242</v>
      </c>
      <c r="K65" s="338">
        <v>1</v>
      </c>
      <c r="L65" s="93"/>
      <c r="M65" s="93"/>
      <c r="N65" s="93"/>
      <c r="O65" s="93"/>
      <c r="P65" s="93"/>
      <c r="Q65" s="93"/>
      <c r="R65" s="357" t="s">
        <v>66</v>
      </c>
      <c r="S65" s="357" t="s">
        <v>66</v>
      </c>
      <c r="T65" s="93"/>
      <c r="U65" s="93"/>
      <c r="V65" s="93"/>
      <c r="W65" s="359">
        <v>1</v>
      </c>
      <c r="X65" s="93"/>
      <c r="Y65" s="357" t="s">
        <v>66</v>
      </c>
      <c r="Z65" s="357" t="s">
        <v>66</v>
      </c>
      <c r="AA65" s="93"/>
      <c r="AB65" s="93"/>
      <c r="AC65" s="93"/>
      <c r="AD65" s="93"/>
      <c r="AE65" s="93"/>
      <c r="AF65" s="357" t="s">
        <v>66</v>
      </c>
      <c r="AG65" s="93"/>
      <c r="AH65" s="93"/>
      <c r="AI65" s="93"/>
      <c r="AJ65" s="93"/>
      <c r="AK65" s="93"/>
      <c r="AL65" s="93"/>
      <c r="AM65" s="357" t="s">
        <v>66</v>
      </c>
      <c r="AN65" s="357" t="s">
        <v>66</v>
      </c>
      <c r="AO65" s="505"/>
    </row>
    <row r="66" spans="1:41" ht="15.6">
      <c r="A66" s="344" t="s">
        <v>229</v>
      </c>
      <c r="B66" s="345" t="s">
        <v>87</v>
      </c>
      <c r="C66" s="351" t="s">
        <v>216</v>
      </c>
      <c r="D66" s="345" t="s">
        <v>89</v>
      </c>
      <c r="E66" s="346" t="s">
        <v>1896</v>
      </c>
      <c r="F66" s="345" t="s">
        <v>88</v>
      </c>
      <c r="G66" s="436">
        <v>14</v>
      </c>
      <c r="H66" s="358">
        <v>19</v>
      </c>
      <c r="I66" s="358">
        <v>19</v>
      </c>
      <c r="J66" s="468">
        <v>0.95497953615279674</v>
      </c>
      <c r="K66" s="338">
        <v>3</v>
      </c>
      <c r="L66" s="93"/>
      <c r="M66" s="93"/>
      <c r="N66" s="93"/>
      <c r="O66" s="93"/>
      <c r="P66" s="93"/>
      <c r="Q66" s="93"/>
      <c r="R66" s="357" t="s">
        <v>66</v>
      </c>
      <c r="S66" s="357" t="s">
        <v>66</v>
      </c>
      <c r="T66" s="93"/>
      <c r="U66" s="93"/>
      <c r="V66" s="93"/>
      <c r="W66" s="93"/>
      <c r="X66" s="93"/>
      <c r="Y66" s="357" t="s">
        <v>66</v>
      </c>
      <c r="Z66" s="357" t="s">
        <v>66</v>
      </c>
      <c r="AA66" s="93"/>
      <c r="AB66" s="93"/>
      <c r="AC66" s="93"/>
      <c r="AD66" s="361">
        <v>3</v>
      </c>
      <c r="AE66" s="93"/>
      <c r="AF66" s="357" t="s">
        <v>66</v>
      </c>
      <c r="AG66" s="93"/>
      <c r="AH66" s="93"/>
      <c r="AI66" s="93"/>
      <c r="AJ66" s="93"/>
      <c r="AK66" s="93"/>
      <c r="AL66" s="93"/>
      <c r="AM66" s="357" t="s">
        <v>66</v>
      </c>
      <c r="AN66" s="357" t="s">
        <v>66</v>
      </c>
      <c r="AO66" s="505"/>
    </row>
    <row r="67" spans="1:41" ht="15.6">
      <c r="A67" s="449" t="s">
        <v>231</v>
      </c>
      <c r="B67" s="346" t="s">
        <v>79</v>
      </c>
      <c r="C67" s="351" t="s">
        <v>188</v>
      </c>
      <c r="D67" s="346" t="s">
        <v>106</v>
      </c>
      <c r="E67" s="346" t="s">
        <v>1896</v>
      </c>
      <c r="F67" s="346" t="s">
        <v>88</v>
      </c>
      <c r="G67" s="436">
        <v>102</v>
      </c>
      <c r="H67" s="419">
        <v>1</v>
      </c>
      <c r="I67" s="419">
        <v>10</v>
      </c>
      <c r="J67" s="468">
        <v>6.9577080491132328</v>
      </c>
      <c r="K67" s="338">
        <v>1</v>
      </c>
      <c r="L67" s="359">
        <v>1</v>
      </c>
      <c r="M67" s="359">
        <v>1</v>
      </c>
      <c r="N67" s="359">
        <v>1</v>
      </c>
      <c r="O67" s="359">
        <v>1</v>
      </c>
      <c r="P67" s="359">
        <v>1</v>
      </c>
      <c r="Q67" s="93"/>
      <c r="R67" s="357" t="s">
        <v>66</v>
      </c>
      <c r="S67" s="357" t="s">
        <v>66</v>
      </c>
      <c r="T67" s="359">
        <v>1</v>
      </c>
      <c r="U67" s="359">
        <v>1</v>
      </c>
      <c r="V67" s="93"/>
      <c r="W67" s="93"/>
      <c r="X67" s="93"/>
      <c r="Y67" s="357" t="s">
        <v>66</v>
      </c>
      <c r="Z67" s="357" t="s">
        <v>66</v>
      </c>
      <c r="AA67" s="93"/>
      <c r="AB67" s="93"/>
      <c r="AC67" s="93"/>
      <c r="AD67" s="93"/>
      <c r="AE67" s="93"/>
      <c r="AF67" s="357" t="s">
        <v>66</v>
      </c>
      <c r="AG67" s="93"/>
      <c r="AH67" s="93"/>
      <c r="AI67" s="93"/>
      <c r="AJ67" s="93"/>
      <c r="AK67" s="93"/>
      <c r="AL67" s="93"/>
      <c r="AM67" s="357" t="s">
        <v>66</v>
      </c>
      <c r="AN67" s="357" t="s">
        <v>66</v>
      </c>
      <c r="AO67" s="505"/>
    </row>
    <row r="68" spans="1:41" ht="15.6">
      <c r="A68" s="347" t="s">
        <v>234</v>
      </c>
      <c r="B68" s="349" t="s">
        <v>69</v>
      </c>
      <c r="C68" s="351" t="s">
        <v>188</v>
      </c>
      <c r="D68" s="346" t="s">
        <v>106</v>
      </c>
      <c r="E68" s="346" t="s">
        <v>1896</v>
      </c>
      <c r="F68" s="346" t="s">
        <v>88</v>
      </c>
      <c r="G68" s="436">
        <v>15</v>
      </c>
      <c r="H68" s="419">
        <v>11</v>
      </c>
      <c r="I68" s="419">
        <v>11</v>
      </c>
      <c r="J68" s="468">
        <v>1.0231923601637107</v>
      </c>
      <c r="K68" s="338">
        <v>1</v>
      </c>
      <c r="L68" s="93"/>
      <c r="M68" s="93"/>
      <c r="N68" s="93"/>
      <c r="O68" s="93"/>
      <c r="P68" s="93"/>
      <c r="Q68" s="93"/>
      <c r="R68" s="357" t="s">
        <v>66</v>
      </c>
      <c r="S68" s="357" t="s">
        <v>66</v>
      </c>
      <c r="T68" s="93"/>
      <c r="U68" s="93"/>
      <c r="V68" s="359">
        <v>1</v>
      </c>
      <c r="W68" s="93"/>
      <c r="X68" s="93"/>
      <c r="Y68" s="357" t="s">
        <v>66</v>
      </c>
      <c r="Z68" s="357" t="s">
        <v>66</v>
      </c>
      <c r="AA68" s="93"/>
      <c r="AB68" s="93"/>
      <c r="AC68" s="93"/>
      <c r="AD68" s="93"/>
      <c r="AE68" s="93"/>
      <c r="AF68" s="357" t="s">
        <v>66</v>
      </c>
      <c r="AG68" s="93"/>
      <c r="AH68" s="93"/>
      <c r="AI68" s="93"/>
      <c r="AJ68" s="93"/>
      <c r="AK68" s="93"/>
      <c r="AL68" s="93"/>
      <c r="AM68" s="357" t="s">
        <v>66</v>
      </c>
      <c r="AN68" s="357" t="s">
        <v>66</v>
      </c>
      <c r="AO68" s="505"/>
    </row>
    <row r="69" spans="1:41" ht="15.6">
      <c r="A69" s="449" t="s">
        <v>236</v>
      </c>
      <c r="B69" s="349" t="s">
        <v>69</v>
      </c>
      <c r="C69" s="351" t="s">
        <v>188</v>
      </c>
      <c r="D69" s="349" t="s">
        <v>106</v>
      </c>
      <c r="E69" s="346" t="s">
        <v>1896</v>
      </c>
      <c r="F69" s="349" t="s">
        <v>88</v>
      </c>
      <c r="G69" s="436">
        <v>58</v>
      </c>
      <c r="H69" s="419">
        <v>16</v>
      </c>
      <c r="I69" s="419">
        <v>19</v>
      </c>
      <c r="J69" s="468">
        <v>3.9563437926330152</v>
      </c>
      <c r="K69" s="338">
        <v>1</v>
      </c>
      <c r="L69" s="93"/>
      <c r="M69" s="93"/>
      <c r="N69" s="93"/>
      <c r="O69" s="93"/>
      <c r="P69" s="93"/>
      <c r="Q69" s="93"/>
      <c r="R69" s="357" t="s">
        <v>66</v>
      </c>
      <c r="S69" s="357" t="s">
        <v>66</v>
      </c>
      <c r="T69" s="93"/>
      <c r="U69" s="93"/>
      <c r="V69" s="93"/>
      <c r="W69" s="93"/>
      <c r="X69" s="93"/>
      <c r="Y69" s="357" t="s">
        <v>66</v>
      </c>
      <c r="Z69" s="357" t="s">
        <v>66</v>
      </c>
      <c r="AA69" s="359">
        <v>1</v>
      </c>
      <c r="AB69" s="359">
        <v>1</v>
      </c>
      <c r="AC69" s="359">
        <v>1</v>
      </c>
      <c r="AD69" s="359">
        <v>1</v>
      </c>
      <c r="AE69" s="93"/>
      <c r="AF69" s="357" t="s">
        <v>66</v>
      </c>
      <c r="AG69" s="93"/>
      <c r="AH69" s="93"/>
      <c r="AI69" s="93"/>
      <c r="AJ69" s="93"/>
      <c r="AK69" s="93"/>
      <c r="AL69" s="93"/>
      <c r="AM69" s="357" t="s">
        <v>66</v>
      </c>
      <c r="AN69" s="357" t="s">
        <v>66</v>
      </c>
      <c r="AO69" s="505"/>
    </row>
    <row r="70" spans="1:41" ht="15.6">
      <c r="A70" s="347" t="s">
        <v>238</v>
      </c>
      <c r="B70" s="345" t="s">
        <v>203</v>
      </c>
      <c r="C70" s="345" t="s">
        <v>212</v>
      </c>
      <c r="D70" s="345" t="s">
        <v>106</v>
      </c>
      <c r="E70" s="346" t="s">
        <v>1896</v>
      </c>
      <c r="F70" s="345" t="s">
        <v>88</v>
      </c>
      <c r="G70" s="436">
        <v>14</v>
      </c>
      <c r="H70" s="419">
        <v>17</v>
      </c>
      <c r="I70" s="419">
        <v>17</v>
      </c>
      <c r="J70" s="468">
        <v>0.95497953615279674</v>
      </c>
      <c r="K70" s="338">
        <v>2</v>
      </c>
      <c r="L70" s="93"/>
      <c r="M70" s="93"/>
      <c r="N70" s="93"/>
      <c r="O70" s="93"/>
      <c r="P70" s="93"/>
      <c r="Q70" s="93"/>
      <c r="R70" s="357" t="s">
        <v>66</v>
      </c>
      <c r="S70" s="357" t="s">
        <v>66</v>
      </c>
      <c r="T70" s="93"/>
      <c r="U70" s="93"/>
      <c r="V70" s="93"/>
      <c r="W70" s="93"/>
      <c r="X70" s="93"/>
      <c r="Y70" s="357" t="s">
        <v>66</v>
      </c>
      <c r="Z70" s="357" t="s">
        <v>66</v>
      </c>
      <c r="AA70" s="93"/>
      <c r="AB70" s="360">
        <v>2</v>
      </c>
      <c r="AC70" s="93"/>
      <c r="AD70" s="93"/>
      <c r="AE70" s="93"/>
      <c r="AF70" s="357" t="s">
        <v>66</v>
      </c>
      <c r="AG70" s="93"/>
      <c r="AH70" s="93"/>
      <c r="AI70" s="93"/>
      <c r="AJ70" s="93"/>
      <c r="AK70" s="93"/>
      <c r="AL70" s="93"/>
      <c r="AM70" s="357" t="s">
        <v>66</v>
      </c>
      <c r="AN70" s="357" t="s">
        <v>66</v>
      </c>
      <c r="AO70" s="505"/>
    </row>
    <row r="71" spans="1:41" ht="15.6">
      <c r="A71" s="347" t="s">
        <v>239</v>
      </c>
      <c r="B71" s="367" t="s">
        <v>69</v>
      </c>
      <c r="C71" s="367" t="s">
        <v>212</v>
      </c>
      <c r="D71" s="367" t="s">
        <v>106</v>
      </c>
      <c r="E71" s="346" t="s">
        <v>1896</v>
      </c>
      <c r="F71" s="367" t="s">
        <v>88</v>
      </c>
      <c r="G71" s="436">
        <v>14</v>
      </c>
      <c r="H71" s="419">
        <v>16</v>
      </c>
      <c r="I71" s="419">
        <v>16</v>
      </c>
      <c r="J71" s="468">
        <v>0.95497953615279674</v>
      </c>
      <c r="K71" s="338">
        <v>2</v>
      </c>
      <c r="L71" s="93"/>
      <c r="M71" s="93"/>
      <c r="N71" s="93"/>
      <c r="O71" s="93"/>
      <c r="P71" s="93"/>
      <c r="Q71" s="93"/>
      <c r="R71" s="357" t="s">
        <v>66</v>
      </c>
      <c r="S71" s="357" t="s">
        <v>66</v>
      </c>
      <c r="T71" s="93"/>
      <c r="U71" s="93"/>
      <c r="V71" s="93"/>
      <c r="W71" s="93"/>
      <c r="X71" s="93"/>
      <c r="Y71" s="357" t="s">
        <v>66</v>
      </c>
      <c r="Z71" s="357" t="s">
        <v>66</v>
      </c>
      <c r="AA71" s="360">
        <v>2</v>
      </c>
      <c r="AB71" s="93"/>
      <c r="AC71" s="93"/>
      <c r="AD71" s="93"/>
      <c r="AE71" s="93"/>
      <c r="AF71" s="357" t="s">
        <v>66</v>
      </c>
      <c r="AG71" s="93"/>
      <c r="AH71" s="93"/>
      <c r="AI71" s="93"/>
      <c r="AJ71" s="93"/>
      <c r="AK71" s="93"/>
      <c r="AL71" s="93"/>
      <c r="AM71" s="357" t="s">
        <v>66</v>
      </c>
      <c r="AN71" s="357" t="s">
        <v>66</v>
      </c>
      <c r="AO71" s="505"/>
    </row>
    <row r="72" spans="1:41" ht="15.6">
      <c r="A72" s="372" t="s">
        <v>241</v>
      </c>
      <c r="B72" s="336" t="s">
        <v>61</v>
      </c>
      <c r="C72" s="367" t="s">
        <v>212</v>
      </c>
      <c r="D72" s="336" t="s">
        <v>106</v>
      </c>
      <c r="E72" s="346" t="s">
        <v>1896</v>
      </c>
      <c r="F72" s="336" t="s">
        <v>88</v>
      </c>
      <c r="G72" s="436">
        <v>14</v>
      </c>
      <c r="H72" s="419">
        <v>12</v>
      </c>
      <c r="I72" s="419">
        <v>12</v>
      </c>
      <c r="J72" s="468">
        <v>0.95497953615279674</v>
      </c>
      <c r="K72" s="338">
        <v>2</v>
      </c>
      <c r="L72" s="93"/>
      <c r="M72" s="93"/>
      <c r="N72" s="93"/>
      <c r="O72" s="93"/>
      <c r="P72" s="93"/>
      <c r="Q72" s="93"/>
      <c r="R72" s="357" t="s">
        <v>66</v>
      </c>
      <c r="S72" s="357" t="s">
        <v>66</v>
      </c>
      <c r="T72" s="93"/>
      <c r="U72" s="93"/>
      <c r="V72" s="93"/>
      <c r="W72" s="360">
        <v>2</v>
      </c>
      <c r="X72" s="93"/>
      <c r="Y72" s="357" t="s">
        <v>66</v>
      </c>
      <c r="Z72" s="357" t="s">
        <v>66</v>
      </c>
      <c r="AA72" s="93"/>
      <c r="AB72" s="93"/>
      <c r="AC72" s="93"/>
      <c r="AD72" s="93"/>
      <c r="AE72" s="93"/>
      <c r="AF72" s="357" t="s">
        <v>66</v>
      </c>
      <c r="AG72" s="93"/>
      <c r="AH72" s="93"/>
      <c r="AI72" s="93"/>
      <c r="AJ72" s="93"/>
      <c r="AK72" s="93"/>
      <c r="AL72" s="93"/>
      <c r="AM72" s="357" t="s">
        <v>66</v>
      </c>
      <c r="AN72" s="357" t="s">
        <v>66</v>
      </c>
      <c r="AO72" s="505"/>
    </row>
    <row r="73" spans="1:41" ht="15.6">
      <c r="A73" s="347" t="s">
        <v>243</v>
      </c>
      <c r="B73" s="367" t="s">
        <v>245</v>
      </c>
      <c r="C73" s="367" t="s">
        <v>212</v>
      </c>
      <c r="D73" s="367" t="s">
        <v>106</v>
      </c>
      <c r="E73" s="346" t="s">
        <v>1896</v>
      </c>
      <c r="F73" s="367" t="s">
        <v>88</v>
      </c>
      <c r="G73" s="436">
        <v>88</v>
      </c>
      <c r="H73" s="419">
        <v>19</v>
      </c>
      <c r="I73" s="419">
        <v>26</v>
      </c>
      <c r="J73" s="468">
        <v>6.0027285129604362</v>
      </c>
      <c r="K73" s="338">
        <v>2</v>
      </c>
      <c r="L73" s="93"/>
      <c r="M73" s="93"/>
      <c r="N73" s="93"/>
      <c r="O73" s="93"/>
      <c r="P73" s="93"/>
      <c r="Q73" s="93"/>
      <c r="R73" s="357" t="s">
        <v>66</v>
      </c>
      <c r="S73" s="357" t="s">
        <v>66</v>
      </c>
      <c r="T73" s="93"/>
      <c r="U73" s="93"/>
      <c r="V73" s="93"/>
      <c r="W73" s="93"/>
      <c r="X73" s="93"/>
      <c r="Y73" s="357" t="s">
        <v>66</v>
      </c>
      <c r="Z73" s="357" t="s">
        <v>66</v>
      </c>
      <c r="AA73" s="93"/>
      <c r="AB73" s="93"/>
      <c r="AC73" s="93"/>
      <c r="AD73" s="360">
        <v>2</v>
      </c>
      <c r="AE73" s="93"/>
      <c r="AF73" s="357" t="s">
        <v>66</v>
      </c>
      <c r="AG73" s="360">
        <v>2</v>
      </c>
      <c r="AH73" s="360">
        <v>2</v>
      </c>
      <c r="AI73" s="360">
        <v>2</v>
      </c>
      <c r="AJ73" s="360">
        <v>2</v>
      </c>
      <c r="AK73" s="360">
        <v>2</v>
      </c>
      <c r="AL73" s="93"/>
      <c r="AM73" s="357" t="s">
        <v>66</v>
      </c>
      <c r="AN73" s="357" t="s">
        <v>66</v>
      </c>
      <c r="AO73" s="505"/>
    </row>
    <row r="74" spans="1:41" ht="15.6">
      <c r="A74" s="347" t="s">
        <v>246</v>
      </c>
      <c r="B74" s="345" t="s">
        <v>74</v>
      </c>
      <c r="C74" s="367" t="s">
        <v>212</v>
      </c>
      <c r="D74" s="345" t="s">
        <v>106</v>
      </c>
      <c r="E74" s="346" t="s">
        <v>1896</v>
      </c>
      <c r="F74" s="345" t="s">
        <v>88</v>
      </c>
      <c r="G74" s="436">
        <v>124</v>
      </c>
      <c r="H74" s="419">
        <v>1</v>
      </c>
      <c r="I74" s="419">
        <v>11</v>
      </c>
      <c r="J74" s="468">
        <v>8.4583901773533423</v>
      </c>
      <c r="K74" s="338">
        <v>2</v>
      </c>
      <c r="L74" s="360">
        <v>2</v>
      </c>
      <c r="M74" s="360">
        <v>2</v>
      </c>
      <c r="N74" s="360">
        <v>2</v>
      </c>
      <c r="O74" s="360">
        <v>2</v>
      </c>
      <c r="P74" s="360">
        <v>2</v>
      </c>
      <c r="Q74" s="360">
        <v>2</v>
      </c>
      <c r="R74" s="357" t="s">
        <v>66</v>
      </c>
      <c r="S74" s="357" t="s">
        <v>66</v>
      </c>
      <c r="T74" s="360">
        <v>2</v>
      </c>
      <c r="U74" s="360">
        <v>2</v>
      </c>
      <c r="V74" s="360">
        <v>2</v>
      </c>
      <c r="W74" s="93"/>
      <c r="X74" s="93"/>
      <c r="Y74" s="357" t="s">
        <v>66</v>
      </c>
      <c r="Z74" s="357" t="s">
        <v>66</v>
      </c>
      <c r="AA74" s="93"/>
      <c r="AB74" s="93"/>
      <c r="AC74" s="93"/>
      <c r="AD74" s="93"/>
      <c r="AE74" s="93"/>
      <c r="AF74" s="357" t="s">
        <v>66</v>
      </c>
      <c r="AG74" s="93"/>
      <c r="AH74" s="93"/>
      <c r="AI74" s="93"/>
      <c r="AJ74" s="93"/>
      <c r="AK74" s="93"/>
      <c r="AL74" s="93"/>
      <c r="AM74" s="357" t="s">
        <v>66</v>
      </c>
      <c r="AN74" s="357" t="s">
        <v>66</v>
      </c>
      <c r="AO74" s="505"/>
    </row>
    <row r="75" spans="1:41" ht="15.6">
      <c r="A75" s="347" t="s">
        <v>249</v>
      </c>
      <c r="B75" s="348" t="s">
        <v>74</v>
      </c>
      <c r="C75" s="348" t="s">
        <v>216</v>
      </c>
      <c r="D75" s="345" t="s">
        <v>106</v>
      </c>
      <c r="E75" s="346" t="s">
        <v>1896</v>
      </c>
      <c r="F75" s="345" t="s">
        <v>88</v>
      </c>
      <c r="G75" s="436">
        <v>124</v>
      </c>
      <c r="H75" s="419">
        <v>1</v>
      </c>
      <c r="I75" s="419">
        <v>11</v>
      </c>
      <c r="J75" s="468">
        <v>8.4583901773533423</v>
      </c>
      <c r="K75" s="338">
        <v>3</v>
      </c>
      <c r="L75" s="361">
        <v>3</v>
      </c>
      <c r="M75" s="361">
        <v>3</v>
      </c>
      <c r="N75" s="361">
        <v>3</v>
      </c>
      <c r="O75" s="361">
        <v>3</v>
      </c>
      <c r="P75" s="361">
        <v>3</v>
      </c>
      <c r="Q75" s="361">
        <v>3</v>
      </c>
      <c r="R75" s="357" t="s">
        <v>66</v>
      </c>
      <c r="S75" s="357" t="s">
        <v>66</v>
      </c>
      <c r="T75" s="361">
        <v>3</v>
      </c>
      <c r="U75" s="361">
        <v>3</v>
      </c>
      <c r="V75" s="361">
        <v>3</v>
      </c>
      <c r="W75" s="93"/>
      <c r="X75" s="93"/>
      <c r="Y75" s="357" t="s">
        <v>66</v>
      </c>
      <c r="Z75" s="357" t="s">
        <v>66</v>
      </c>
      <c r="AA75" s="93"/>
      <c r="AB75" s="93"/>
      <c r="AC75" s="93"/>
      <c r="AD75" s="93"/>
      <c r="AE75" s="93"/>
      <c r="AF75" s="357" t="s">
        <v>66</v>
      </c>
      <c r="AG75" s="93"/>
      <c r="AH75" s="93"/>
      <c r="AI75" s="93"/>
      <c r="AJ75" s="93"/>
      <c r="AK75" s="93"/>
      <c r="AL75" s="93"/>
      <c r="AM75" s="357" t="s">
        <v>66</v>
      </c>
      <c r="AN75" s="357" t="s">
        <v>66</v>
      </c>
      <c r="AO75" s="505"/>
    </row>
    <row r="76" spans="1:41" ht="15.6">
      <c r="A76" s="347" t="s">
        <v>252</v>
      </c>
      <c r="B76" s="367" t="s">
        <v>203</v>
      </c>
      <c r="C76" s="367" t="s">
        <v>220</v>
      </c>
      <c r="D76" s="367" t="s">
        <v>106</v>
      </c>
      <c r="E76" s="346" t="s">
        <v>1896</v>
      </c>
      <c r="F76" s="345" t="s">
        <v>88</v>
      </c>
      <c r="G76" s="436">
        <v>30</v>
      </c>
      <c r="H76" s="419">
        <v>19</v>
      </c>
      <c r="I76" s="419">
        <v>22</v>
      </c>
      <c r="J76" s="468">
        <v>2.0463847203274215</v>
      </c>
      <c r="K76" s="338">
        <v>4</v>
      </c>
      <c r="L76" s="93"/>
      <c r="M76" s="93"/>
      <c r="N76" s="93"/>
      <c r="O76" s="93"/>
      <c r="P76" s="93"/>
      <c r="Q76" s="93"/>
      <c r="R76" s="357" t="s">
        <v>66</v>
      </c>
      <c r="S76" s="357" t="s">
        <v>66</v>
      </c>
      <c r="T76" s="93"/>
      <c r="U76" s="93"/>
      <c r="V76" s="93"/>
      <c r="W76" s="93"/>
      <c r="X76" s="93"/>
      <c r="Y76" s="357" t="s">
        <v>66</v>
      </c>
      <c r="Z76" s="357" t="s">
        <v>66</v>
      </c>
      <c r="AA76" s="93"/>
      <c r="AB76" s="93"/>
      <c r="AC76" s="93"/>
      <c r="AD76" s="479">
        <v>4</v>
      </c>
      <c r="AE76" s="93"/>
      <c r="AF76" s="357" t="s">
        <v>66</v>
      </c>
      <c r="AG76" s="479">
        <v>4</v>
      </c>
      <c r="AH76" s="93"/>
      <c r="AI76" s="93"/>
      <c r="AJ76" s="93"/>
      <c r="AK76" s="93"/>
      <c r="AL76" s="93"/>
      <c r="AM76" s="357" t="s">
        <v>66</v>
      </c>
      <c r="AN76" s="357" t="s">
        <v>66</v>
      </c>
      <c r="AO76" s="505"/>
    </row>
    <row r="77" spans="1:41" ht="15.6">
      <c r="A77" s="347" t="s">
        <v>254</v>
      </c>
      <c r="B77" s="367" t="s">
        <v>256</v>
      </c>
      <c r="C77" s="367" t="s">
        <v>220</v>
      </c>
      <c r="D77" s="367" t="s">
        <v>106</v>
      </c>
      <c r="E77" s="346" t="s">
        <v>1896</v>
      </c>
      <c r="F77" s="345" t="s">
        <v>88</v>
      </c>
      <c r="G77" s="436">
        <v>30</v>
      </c>
      <c r="H77" s="419">
        <v>23</v>
      </c>
      <c r="I77" s="419">
        <v>24</v>
      </c>
      <c r="J77" s="468">
        <v>2.0463847203274215</v>
      </c>
      <c r="K77" s="338">
        <v>4</v>
      </c>
      <c r="L77" s="93"/>
      <c r="M77" s="93"/>
      <c r="N77" s="93"/>
      <c r="O77" s="93"/>
      <c r="P77" s="93"/>
      <c r="Q77" s="93"/>
      <c r="R77" s="357" t="s">
        <v>66</v>
      </c>
      <c r="S77" s="357" t="s">
        <v>66</v>
      </c>
      <c r="T77" s="93"/>
      <c r="U77" s="93"/>
      <c r="V77" s="93"/>
      <c r="W77" s="93"/>
      <c r="X77" s="93"/>
      <c r="Y77" s="357" t="s">
        <v>66</v>
      </c>
      <c r="Z77" s="357" t="s">
        <v>66</v>
      </c>
      <c r="AA77" s="93"/>
      <c r="AB77" s="93"/>
      <c r="AC77" s="93"/>
      <c r="AD77" s="93"/>
      <c r="AE77" s="93"/>
      <c r="AF77" s="357" t="s">
        <v>66</v>
      </c>
      <c r="AG77" s="93"/>
      <c r="AH77" s="479">
        <v>4</v>
      </c>
      <c r="AI77" s="479">
        <v>4</v>
      </c>
      <c r="AJ77" s="93"/>
      <c r="AK77" s="93"/>
      <c r="AL77" s="93"/>
      <c r="AM77" s="357" t="s">
        <v>66</v>
      </c>
      <c r="AN77" s="357" t="s">
        <v>66</v>
      </c>
      <c r="AO77" s="505"/>
    </row>
    <row r="78" spans="1:41" ht="15.6">
      <c r="A78" s="347" t="s">
        <v>258</v>
      </c>
      <c r="B78" s="367" t="s">
        <v>256</v>
      </c>
      <c r="C78" s="367" t="s">
        <v>220</v>
      </c>
      <c r="D78" s="367" t="s">
        <v>106</v>
      </c>
      <c r="E78" s="346" t="s">
        <v>1896</v>
      </c>
      <c r="F78" s="345" t="s">
        <v>88</v>
      </c>
      <c r="G78" s="436">
        <v>30</v>
      </c>
      <c r="H78" s="419">
        <v>25</v>
      </c>
      <c r="I78" s="419">
        <v>26</v>
      </c>
      <c r="J78" s="468">
        <v>2.0463847203274215</v>
      </c>
      <c r="K78" s="338">
        <v>4</v>
      </c>
      <c r="L78" s="93"/>
      <c r="M78" s="93"/>
      <c r="N78" s="93"/>
      <c r="O78" s="93"/>
      <c r="P78" s="93"/>
      <c r="Q78" s="93"/>
      <c r="R78" s="357" t="s">
        <v>66</v>
      </c>
      <c r="S78" s="357" t="s">
        <v>66</v>
      </c>
      <c r="T78" s="93"/>
      <c r="U78" s="93"/>
      <c r="V78" s="93"/>
      <c r="W78" s="93"/>
      <c r="X78" s="93"/>
      <c r="Y78" s="357" t="s">
        <v>66</v>
      </c>
      <c r="Z78" s="357" t="s">
        <v>66</v>
      </c>
      <c r="AA78" s="93"/>
      <c r="AB78" s="93"/>
      <c r="AC78" s="93"/>
      <c r="AD78" s="93"/>
      <c r="AE78" s="93"/>
      <c r="AF78" s="357" t="s">
        <v>66</v>
      </c>
      <c r="AG78" s="93"/>
      <c r="AH78" s="93"/>
      <c r="AI78" s="93"/>
      <c r="AJ78" s="479">
        <v>4</v>
      </c>
      <c r="AK78" s="479">
        <v>4</v>
      </c>
      <c r="AL78" s="93"/>
      <c r="AM78" s="357" t="s">
        <v>66</v>
      </c>
      <c r="AN78" s="357" t="s">
        <v>66</v>
      </c>
      <c r="AO78" s="505"/>
    </row>
    <row r="79" spans="1:41" ht="15.6">
      <c r="A79" s="347" t="s">
        <v>260</v>
      </c>
      <c r="B79" s="367" t="s">
        <v>256</v>
      </c>
      <c r="C79" s="367" t="s">
        <v>261</v>
      </c>
      <c r="D79" s="367" t="s">
        <v>106</v>
      </c>
      <c r="E79" s="346" t="s">
        <v>1896</v>
      </c>
      <c r="F79" s="345" t="s">
        <v>88</v>
      </c>
      <c r="G79" s="436">
        <v>15</v>
      </c>
      <c r="H79" s="419">
        <v>16</v>
      </c>
      <c r="I79" s="419">
        <v>16</v>
      </c>
      <c r="J79" s="468">
        <v>1.0231923601637107</v>
      </c>
      <c r="K79" s="338">
        <v>4</v>
      </c>
      <c r="L79" s="93"/>
      <c r="M79" s="93"/>
      <c r="N79" s="93"/>
      <c r="O79" s="93"/>
      <c r="P79" s="93"/>
      <c r="Q79" s="93"/>
      <c r="R79" s="357" t="s">
        <v>66</v>
      </c>
      <c r="S79" s="357" t="s">
        <v>66</v>
      </c>
      <c r="T79" s="93"/>
      <c r="U79" s="93"/>
      <c r="V79" s="93"/>
      <c r="W79" s="93"/>
      <c r="X79" s="93"/>
      <c r="Y79" s="357" t="s">
        <v>66</v>
      </c>
      <c r="Z79" s="357" t="s">
        <v>66</v>
      </c>
      <c r="AA79" s="479">
        <v>4</v>
      </c>
      <c r="AB79" s="93"/>
      <c r="AC79" s="93"/>
      <c r="AD79" s="93"/>
      <c r="AE79" s="93"/>
      <c r="AF79" s="357" t="s">
        <v>66</v>
      </c>
      <c r="AG79" s="93"/>
      <c r="AH79" s="93"/>
      <c r="AI79" s="93"/>
      <c r="AJ79" s="93"/>
      <c r="AK79" s="93"/>
      <c r="AL79" s="93"/>
      <c r="AM79" s="357" t="s">
        <v>66</v>
      </c>
      <c r="AN79" s="357" t="s">
        <v>66</v>
      </c>
      <c r="AO79" s="505"/>
    </row>
    <row r="80" spans="1:41" ht="15.6">
      <c r="A80" s="347" t="s">
        <v>262</v>
      </c>
      <c r="B80" s="367" t="s">
        <v>256</v>
      </c>
      <c r="C80" s="367" t="s">
        <v>264</v>
      </c>
      <c r="D80" s="367" t="s">
        <v>106</v>
      </c>
      <c r="E80" s="346" t="s">
        <v>1896</v>
      </c>
      <c r="F80" s="345" t="s">
        <v>88</v>
      </c>
      <c r="G80" s="436">
        <v>30</v>
      </c>
      <c r="H80" s="419">
        <v>17</v>
      </c>
      <c r="I80" s="419">
        <v>18</v>
      </c>
      <c r="J80" s="468">
        <v>2.0463847203274215</v>
      </c>
      <c r="K80" s="338">
        <v>4</v>
      </c>
      <c r="L80" s="93"/>
      <c r="M80" s="93"/>
      <c r="N80" s="93"/>
      <c r="O80" s="93"/>
      <c r="P80" s="93"/>
      <c r="Q80" s="93"/>
      <c r="R80" s="357" t="s">
        <v>66</v>
      </c>
      <c r="S80" s="357" t="s">
        <v>66</v>
      </c>
      <c r="T80" s="93"/>
      <c r="U80" s="93"/>
      <c r="V80" s="93"/>
      <c r="W80" s="93"/>
      <c r="X80" s="93"/>
      <c r="Y80" s="357" t="s">
        <v>66</v>
      </c>
      <c r="Z80" s="357" t="s">
        <v>66</v>
      </c>
      <c r="AA80" s="93"/>
      <c r="AB80" s="479">
        <v>4</v>
      </c>
      <c r="AC80" s="479">
        <v>4</v>
      </c>
      <c r="AD80" s="93"/>
      <c r="AE80" s="93"/>
      <c r="AF80" s="357" t="s">
        <v>66</v>
      </c>
      <c r="AG80" s="93"/>
      <c r="AH80" s="93"/>
      <c r="AI80" s="93"/>
      <c r="AJ80" s="93"/>
      <c r="AK80" s="93"/>
      <c r="AL80" s="93"/>
      <c r="AM80" s="357" t="s">
        <v>66</v>
      </c>
      <c r="AN80" s="357" t="s">
        <v>66</v>
      </c>
      <c r="AO80" s="505"/>
    </row>
    <row r="81" spans="1:41" ht="15.6">
      <c r="A81" s="347" t="s">
        <v>266</v>
      </c>
      <c r="B81" s="367" t="s">
        <v>256</v>
      </c>
      <c r="C81" s="367" t="s">
        <v>261</v>
      </c>
      <c r="D81" s="367" t="s">
        <v>106</v>
      </c>
      <c r="E81" s="346" t="s">
        <v>1896</v>
      </c>
      <c r="F81" s="345" t="s">
        <v>88</v>
      </c>
      <c r="G81" s="436">
        <v>30</v>
      </c>
      <c r="H81" s="419">
        <v>11</v>
      </c>
      <c r="I81" s="419">
        <v>12</v>
      </c>
      <c r="J81" s="468">
        <v>2.0463847203274215</v>
      </c>
      <c r="K81" s="338">
        <v>4</v>
      </c>
      <c r="L81" s="93"/>
      <c r="M81" s="93"/>
      <c r="N81" s="93"/>
      <c r="O81" s="93"/>
      <c r="P81" s="93"/>
      <c r="Q81" s="93"/>
      <c r="R81" s="357" t="s">
        <v>66</v>
      </c>
      <c r="S81" s="357" t="s">
        <v>66</v>
      </c>
      <c r="T81" s="93"/>
      <c r="U81" s="93"/>
      <c r="V81" s="479">
        <v>4</v>
      </c>
      <c r="W81" s="479">
        <v>4</v>
      </c>
      <c r="X81" s="93"/>
      <c r="Y81" s="357" t="s">
        <v>66</v>
      </c>
      <c r="Z81" s="357" t="s">
        <v>66</v>
      </c>
      <c r="AA81" s="93"/>
      <c r="AB81" s="93"/>
      <c r="AC81" s="93"/>
      <c r="AD81" s="93"/>
      <c r="AE81" s="93"/>
      <c r="AF81" s="357" t="s">
        <v>66</v>
      </c>
      <c r="AG81" s="93"/>
      <c r="AH81" s="93"/>
      <c r="AI81" s="93"/>
      <c r="AJ81" s="93"/>
      <c r="AK81" s="93"/>
      <c r="AL81" s="93"/>
      <c r="AM81" s="357" t="s">
        <v>66</v>
      </c>
      <c r="AN81" s="357" t="s">
        <v>66</v>
      </c>
      <c r="AO81" s="505"/>
    </row>
    <row r="82" spans="1:41" ht="15.6">
      <c r="A82" s="347" t="s">
        <v>269</v>
      </c>
      <c r="B82" s="367" t="s">
        <v>256</v>
      </c>
      <c r="C82" s="367" t="s">
        <v>220</v>
      </c>
      <c r="D82" s="367" t="s">
        <v>106</v>
      </c>
      <c r="E82" s="346" t="s">
        <v>1896</v>
      </c>
      <c r="F82" s="345" t="s">
        <v>88</v>
      </c>
      <c r="G82" s="436">
        <v>110</v>
      </c>
      <c r="H82" s="419">
        <v>1</v>
      </c>
      <c r="I82" s="419">
        <v>10</v>
      </c>
      <c r="J82" s="468">
        <v>7.5034106412005457</v>
      </c>
      <c r="K82" s="338">
        <v>4</v>
      </c>
      <c r="L82" s="479">
        <v>4</v>
      </c>
      <c r="M82" s="479">
        <v>4</v>
      </c>
      <c r="N82" s="479">
        <v>4</v>
      </c>
      <c r="O82" s="479">
        <v>4</v>
      </c>
      <c r="P82" s="479">
        <v>4</v>
      </c>
      <c r="Q82" s="479">
        <v>4</v>
      </c>
      <c r="R82" s="357" t="s">
        <v>66</v>
      </c>
      <c r="S82" s="357" t="s">
        <v>66</v>
      </c>
      <c r="T82" s="479">
        <v>4</v>
      </c>
      <c r="U82" s="479">
        <v>4</v>
      </c>
      <c r="V82" s="93"/>
      <c r="W82" s="93"/>
      <c r="X82" s="93"/>
      <c r="Y82" s="357" t="s">
        <v>66</v>
      </c>
      <c r="Z82" s="357" t="s">
        <v>66</v>
      </c>
      <c r="AA82" s="93"/>
      <c r="AB82" s="93"/>
      <c r="AC82" s="93"/>
      <c r="AD82" s="93"/>
      <c r="AE82" s="93"/>
      <c r="AF82" s="357" t="s">
        <v>66</v>
      </c>
      <c r="AG82" s="93"/>
      <c r="AH82" s="93"/>
      <c r="AI82" s="93"/>
      <c r="AJ82" s="93"/>
      <c r="AK82" s="93"/>
      <c r="AL82" s="93"/>
      <c r="AM82" s="357" t="s">
        <v>66</v>
      </c>
      <c r="AN82" s="357" t="s">
        <v>66</v>
      </c>
      <c r="AO82" s="505"/>
    </row>
    <row r="83" spans="1:41" ht="16.149999999999999" thickBot="1">
      <c r="A83" s="347" t="s">
        <v>271</v>
      </c>
      <c r="B83" s="367" t="s">
        <v>273</v>
      </c>
      <c r="C83" s="367" t="s">
        <v>220</v>
      </c>
      <c r="D83" s="367" t="s">
        <v>106</v>
      </c>
      <c r="E83" s="346" t="s">
        <v>1896</v>
      </c>
      <c r="F83" s="345" t="s">
        <v>88</v>
      </c>
      <c r="G83" s="436">
        <v>132</v>
      </c>
      <c r="H83" s="419">
        <v>1</v>
      </c>
      <c r="I83" s="419">
        <v>25</v>
      </c>
      <c r="J83" s="468">
        <v>9.0040927694406552</v>
      </c>
      <c r="K83" s="338">
        <v>5</v>
      </c>
      <c r="L83" s="361">
        <v>5</v>
      </c>
      <c r="M83" s="361">
        <v>5</v>
      </c>
      <c r="N83" s="93"/>
      <c r="O83" s="93"/>
      <c r="P83" s="361">
        <v>5</v>
      </c>
      <c r="Q83" s="93"/>
      <c r="R83" s="357" t="s">
        <v>66</v>
      </c>
      <c r="S83" s="357" t="s">
        <v>66</v>
      </c>
      <c r="T83" s="361">
        <v>5</v>
      </c>
      <c r="U83" s="93"/>
      <c r="V83" s="93"/>
      <c r="W83" s="361">
        <v>5</v>
      </c>
      <c r="X83" s="93"/>
      <c r="Y83" s="357" t="s">
        <v>66</v>
      </c>
      <c r="Z83" s="357" t="s">
        <v>66</v>
      </c>
      <c r="AA83" s="361">
        <v>5</v>
      </c>
      <c r="AB83" s="93"/>
      <c r="AC83" s="93"/>
      <c r="AD83" s="361">
        <v>5</v>
      </c>
      <c r="AE83" s="93"/>
      <c r="AF83" s="357" t="s">
        <v>66</v>
      </c>
      <c r="AG83" s="361">
        <v>5</v>
      </c>
      <c r="AH83" s="93"/>
      <c r="AI83" s="93"/>
      <c r="AJ83" s="361">
        <v>5</v>
      </c>
      <c r="AK83" s="363"/>
      <c r="AL83" s="93"/>
      <c r="AM83" s="357" t="s">
        <v>66</v>
      </c>
      <c r="AN83" s="357" t="s">
        <v>66</v>
      </c>
      <c r="AO83" s="505"/>
    </row>
    <row r="84" spans="1:41" ht="15.6">
      <c r="A84" s="347" t="s">
        <v>275</v>
      </c>
      <c r="B84" s="367" t="s">
        <v>273</v>
      </c>
      <c r="C84" s="367" t="s">
        <v>216</v>
      </c>
      <c r="D84" s="367" t="s">
        <v>89</v>
      </c>
      <c r="E84" s="346" t="s">
        <v>1896</v>
      </c>
      <c r="F84" s="345" t="s">
        <v>88</v>
      </c>
      <c r="G84" s="436">
        <v>44</v>
      </c>
      <c r="H84" s="419">
        <v>16</v>
      </c>
      <c r="I84" s="419">
        <v>18</v>
      </c>
      <c r="J84" s="468">
        <v>3.0013642564802181</v>
      </c>
      <c r="K84" s="338">
        <v>3</v>
      </c>
      <c r="L84" s="93"/>
      <c r="M84" s="93"/>
      <c r="N84" s="93"/>
      <c r="O84" s="93"/>
      <c r="P84" s="93"/>
      <c r="Q84" s="93"/>
      <c r="R84" s="357" t="s">
        <v>66</v>
      </c>
      <c r="S84" s="357" t="s">
        <v>66</v>
      </c>
      <c r="T84" s="93"/>
      <c r="U84" s="93"/>
      <c r="V84" s="93"/>
      <c r="W84" s="93"/>
      <c r="X84" s="93"/>
      <c r="Y84" s="357" t="s">
        <v>66</v>
      </c>
      <c r="Z84" s="357" t="s">
        <v>66</v>
      </c>
      <c r="AA84" s="361">
        <v>3</v>
      </c>
      <c r="AB84" s="361">
        <v>3</v>
      </c>
      <c r="AC84" s="361">
        <v>3</v>
      </c>
      <c r="AD84" s="93"/>
      <c r="AE84" s="93"/>
      <c r="AF84" s="357" t="s">
        <v>66</v>
      </c>
      <c r="AG84" s="93"/>
      <c r="AH84" s="93"/>
      <c r="AI84" s="93"/>
      <c r="AJ84" s="93"/>
      <c r="AK84" s="93"/>
      <c r="AL84" s="93"/>
      <c r="AM84" s="357" t="s">
        <v>66</v>
      </c>
      <c r="AN84" s="357" t="s">
        <v>66</v>
      </c>
      <c r="AO84" s="505"/>
    </row>
    <row r="85" spans="1:41" ht="16.149999999999999" thickBot="1">
      <c r="A85" s="352" t="s">
        <v>277</v>
      </c>
      <c r="B85" s="373" t="s">
        <v>256</v>
      </c>
      <c r="C85" s="373" t="s">
        <v>220</v>
      </c>
      <c r="D85" s="373" t="s">
        <v>106</v>
      </c>
      <c r="E85" s="353" t="s">
        <v>1896</v>
      </c>
      <c r="F85" s="377" t="s">
        <v>88</v>
      </c>
      <c r="G85" s="437">
        <v>132</v>
      </c>
      <c r="H85" s="429">
        <v>3</v>
      </c>
      <c r="I85" s="429">
        <v>26</v>
      </c>
      <c r="J85" s="469">
        <v>9.0040927694406552</v>
      </c>
      <c r="K85" s="342">
        <v>5</v>
      </c>
      <c r="L85" s="363"/>
      <c r="M85" s="363"/>
      <c r="N85" s="361">
        <v>5</v>
      </c>
      <c r="O85" s="361">
        <v>5</v>
      </c>
      <c r="P85" s="363"/>
      <c r="Q85" s="363"/>
      <c r="R85" s="364" t="s">
        <v>66</v>
      </c>
      <c r="S85" s="364" t="s">
        <v>66</v>
      </c>
      <c r="T85" s="363"/>
      <c r="U85" s="361">
        <v>5</v>
      </c>
      <c r="V85" s="361">
        <v>5</v>
      </c>
      <c r="W85" s="363"/>
      <c r="X85" s="363"/>
      <c r="Y85" s="364" t="s">
        <v>66</v>
      </c>
      <c r="Z85" s="364" t="s">
        <v>66</v>
      </c>
      <c r="AA85" s="363"/>
      <c r="AB85" s="361">
        <v>5</v>
      </c>
      <c r="AC85" s="361">
        <v>5</v>
      </c>
      <c r="AD85" s="363"/>
      <c r="AE85" s="363"/>
      <c r="AF85" s="364" t="s">
        <v>66</v>
      </c>
      <c r="AG85" s="363"/>
      <c r="AH85" s="361">
        <v>5</v>
      </c>
      <c r="AI85" s="361">
        <v>5</v>
      </c>
      <c r="AJ85" s="363"/>
      <c r="AK85" s="361">
        <v>5</v>
      </c>
      <c r="AL85" s="363"/>
      <c r="AM85" s="364" t="s">
        <v>66</v>
      </c>
      <c r="AN85" s="364" t="s">
        <v>66</v>
      </c>
      <c r="AO85" s="505"/>
    </row>
  </sheetData>
  <autoFilter ref="A3:G28" xr:uid="{00000000-0001-0000-0100-000000000000}"/>
  <mergeCells count="1">
    <mergeCell ref="L1:AO1"/>
  </mergeCells>
  <conditionalFormatting sqref="A1">
    <cfRule type="duplicateValues" dxfId="13" priority="25021"/>
  </conditionalFormatting>
  <conditionalFormatting sqref="A2:A3">
    <cfRule type="duplicateValues" dxfId="12" priority="12"/>
  </conditionalFormatting>
  <conditionalFormatting sqref="A4:A29">
    <cfRule type="duplicateValues" dxfId="11" priority="13"/>
  </conditionalFormatting>
  <conditionalFormatting sqref="A30:A50">
    <cfRule type="duplicateValues" dxfId="10" priority="10"/>
    <cfRule type="duplicateValues" dxfId="9" priority="11"/>
  </conditionalFormatting>
  <conditionalFormatting sqref="A51:A57">
    <cfRule type="duplicateValues" dxfId="8" priority="4"/>
    <cfRule type="duplicateValues" dxfId="7" priority="5"/>
  </conditionalFormatting>
  <conditionalFormatting sqref="A58:A66 A70:A84">
    <cfRule type="duplicateValues" dxfId="6" priority="2"/>
    <cfRule type="duplicateValues" dxfId="5" priority="3"/>
  </conditionalFormatting>
  <conditionalFormatting sqref="A67">
    <cfRule type="duplicateValues" dxfId="4" priority="6"/>
    <cfRule type="duplicateValues" dxfId="3" priority="7"/>
  </conditionalFormatting>
  <conditionalFormatting sqref="A68:A69">
    <cfRule type="duplicateValues" dxfId="2" priority="8"/>
    <cfRule type="duplicateValues" dxfId="1" priority="9"/>
  </conditionalFormatting>
  <conditionalFormatting sqref="A85">
    <cfRule type="duplicateValues" dxfId="0" priority="1"/>
  </conditionalFormatting>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4C2724897E73E4AB2B91C1E181FF94D" ma:contentTypeVersion="21" ma:contentTypeDescription="Crear nuevo documento." ma:contentTypeScope="" ma:versionID="35f71082f662de1cbcc036d1a823cef2">
  <xsd:schema xmlns:xsd="http://www.w3.org/2001/XMLSchema" xmlns:xs="http://www.w3.org/2001/XMLSchema" xmlns:p="http://schemas.microsoft.com/office/2006/metadata/properties" xmlns:ns2="a2a8a80c-b297-44ab-bf94-98308952f943" xmlns:ns3="f6d8968f-0b9e-48da-8e6f-959a78035832" targetNamespace="http://schemas.microsoft.com/office/2006/metadata/properties" ma:root="true" ma:fieldsID="73f07e16c6513cdf99d4346c7ccf6073" ns2:_="" ns3:_="">
    <xsd:import namespace="a2a8a80c-b297-44ab-bf94-98308952f943"/>
    <xsd:import namespace="f6d8968f-0b9e-48da-8e6f-959a780358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PAGINAS" minOccurs="0"/>
                <xsd:element ref="ns2:Ubicacion" minOccurs="0"/>
                <xsd:element ref="ns2:CountryOrRegion0fd4cd92-dd32-4cbc-8089-920a93832171" minOccurs="0"/>
                <xsd:element ref="ns2:State0fd4cd92-dd32-4cbc-8089-920a93832171" minOccurs="0"/>
                <xsd:element ref="ns2:City0fd4cd92-dd32-4cbc-8089-920a93832171" minOccurs="0"/>
                <xsd:element ref="ns2:PostalCode0fd4cd92-dd32-4cbc-8089-920a93832171" minOccurs="0"/>
                <xsd:element ref="ns2:Street0fd4cd92-dd32-4cbc-8089-920a93832171" minOccurs="0"/>
                <xsd:element ref="ns2:GeoLoc0fd4cd92-dd32-4cbc-8089-920a93832171" minOccurs="0"/>
                <xsd:element ref="ns2:DispName0fd4cd92-dd32-4cbc-8089-920a9383217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a8a80c-b297-44ab-bf94-98308952f9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287edcc-7d9c-4c3f-b888-7e8f433a79d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PAGINAS" ma:index="20" nillable="true" ma:displayName="PAGINAS" ma:format="Dropdown" ma:internalName="PAGINAS" ma:percentage="FALSE">
      <xsd:simpleType>
        <xsd:restriction base="dms:Number"/>
      </xsd:simpleType>
    </xsd:element>
    <xsd:element name="Ubicacion" ma:index="21" nillable="true" ma:displayName="Ubicacion" ma:format="Dropdown" ma:internalName="Ubicacion">
      <xsd:simpleType>
        <xsd:restriction base="dms:Unknown"/>
      </xsd:simpleType>
    </xsd:element>
    <xsd:element name="CountryOrRegion0fd4cd92-dd32-4cbc-8089-920a93832171" ma:index="22" nillable="true" ma:displayName="Ubicacion: País o región" ma:internalName="CountryOrRegion" ma:readOnly="true">
      <xsd:simpleType>
        <xsd:restriction base="dms:Text"/>
      </xsd:simpleType>
    </xsd:element>
    <xsd:element name="State0fd4cd92-dd32-4cbc-8089-920a93832171" ma:index="23" nillable="true" ma:displayName="Ubicacion: estado" ma:internalName="State" ma:readOnly="true">
      <xsd:simpleType>
        <xsd:restriction base="dms:Text"/>
      </xsd:simpleType>
    </xsd:element>
    <xsd:element name="City0fd4cd92-dd32-4cbc-8089-920a93832171" ma:index="24" nillable="true" ma:displayName="Ubicacion: ciudad" ma:internalName="City" ma:readOnly="true">
      <xsd:simpleType>
        <xsd:restriction base="dms:Text"/>
      </xsd:simpleType>
    </xsd:element>
    <xsd:element name="PostalCode0fd4cd92-dd32-4cbc-8089-920a93832171" ma:index="25" nillable="true" ma:displayName="Ubicacion: Código postal" ma:internalName="PostalCode" ma:readOnly="true">
      <xsd:simpleType>
        <xsd:restriction base="dms:Text"/>
      </xsd:simpleType>
    </xsd:element>
    <xsd:element name="Street0fd4cd92-dd32-4cbc-8089-920a93832171" ma:index="26" nillable="true" ma:displayName="Ubicacion: calle" ma:internalName="Street" ma:readOnly="true">
      <xsd:simpleType>
        <xsd:restriction base="dms:Text"/>
      </xsd:simpleType>
    </xsd:element>
    <xsd:element name="GeoLoc0fd4cd92-dd32-4cbc-8089-920a93832171" ma:index="27" nillable="true" ma:displayName="Ubicacion: coordenadas" ma:internalName="GeoLoc" ma:readOnly="true">
      <xsd:simpleType>
        <xsd:restriction base="dms:Unknown"/>
      </xsd:simpleType>
    </xsd:element>
    <xsd:element name="DispName0fd4cd92-dd32-4cbc-8089-920a93832171" ma:index="28" nillable="true" ma:displayName="Ubicacion: nombre" ma:internalName="DispNa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d8968f-0b9e-48da-8e6f-959a7803583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d47481-a9a8-48d3-bd0a-9c0afbccd321}" ma:internalName="TaxCatchAll" ma:showField="CatchAllData" ma:web="f6d8968f-0b9e-48da-8e6f-959a780358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a8a80c-b297-44ab-bf94-98308952f943">
      <Terms xmlns="http://schemas.microsoft.com/office/infopath/2007/PartnerControls"/>
    </lcf76f155ced4ddcb4097134ff3c332f>
    <Ubicacion xmlns="a2a8a80c-b297-44ab-bf94-98308952f943" xsi:nil="true"/>
    <PAGINAS xmlns="a2a8a80c-b297-44ab-bf94-98308952f943" xsi:nil="true"/>
    <TaxCatchAll xmlns="f6d8968f-0b9e-48da-8e6f-959a78035832" xsi:nil="true"/>
  </documentManagement>
</p:properties>
</file>

<file path=customXml/itemProps1.xml><?xml version="1.0" encoding="utf-8"?>
<ds:datastoreItem xmlns:ds="http://schemas.openxmlformats.org/officeDocument/2006/customXml" ds:itemID="{AF4D84E9-6254-4920-BDEB-95BDE1F23865}"/>
</file>

<file path=customXml/itemProps2.xml><?xml version="1.0" encoding="utf-8"?>
<ds:datastoreItem xmlns:ds="http://schemas.openxmlformats.org/officeDocument/2006/customXml" ds:itemID="{37D9E3C9-C3BD-4AAF-A983-3708C5A8DF1C}"/>
</file>

<file path=customXml/itemProps3.xml><?xml version="1.0" encoding="utf-8"?>
<ds:datastoreItem xmlns:ds="http://schemas.openxmlformats.org/officeDocument/2006/customXml" ds:itemID="{63B35718-74B5-4782-93E9-75B8A18D4E3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Bernal</dc:creator>
  <cp:keywords/>
  <dc:description/>
  <cp:lastModifiedBy>auxiliaradmin4.comfandi</cp:lastModifiedBy>
  <cp:revision/>
  <dcterms:created xsi:type="dcterms:W3CDTF">2019-06-13T20:05:54Z</dcterms:created>
  <dcterms:modified xsi:type="dcterms:W3CDTF">2026-06-30T16:58:27Z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0x010100D4C2724897E73E4AB2B91C1E181FF94D</vt:lpwstr>
  </property>
  <property fmtid="{D5CDD505-2E9C-101B-9397-08002B2CF9AE}" pid="3" name="MediaServiceImageTags">
    <vt:lpwstr/>
  </property>
</Properties>
</file>